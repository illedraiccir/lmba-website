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dev\lm-moorestown-basketball\data\"/>
    </mc:Choice>
  </mc:AlternateContent>
  <xr:revisionPtr revIDLastSave="0" documentId="13_ncr:1_{2743F20F-23FD-49A9-AFE0-28F6F1AE974E}" xr6:coauthVersionLast="47" xr6:coauthVersionMax="47" xr10:uidLastSave="{00000000-0000-0000-0000-000000000000}"/>
  <bookViews>
    <workbookView xWindow="-120" yWindow="-120" windowWidth="29040" windowHeight="15720" tabRatio="756" firstSheet="2" activeTab="6" xr2:uid="{00000000-000D-0000-FFFF-FFFF00000000}"/>
  </bookViews>
  <sheets>
    <sheet name="seasons" sheetId="3" r:id="rId1"/>
    <sheet name="teams" sheetId="4" r:id="rId2"/>
    <sheet name="seasonTeams" sheetId="8" r:id="rId3"/>
    <sheet name="players" sheetId="5" r:id="rId4"/>
    <sheet name="rosterSpots" sheetId="6" r:id="rId5"/>
    <sheet name="games" sheetId="1" r:id="rId6"/>
    <sheet name="playerGameStats" sheetId="10" r:id="rId7"/>
    <sheet name="weeklyAwards" sheetId="7" r:id="rId8"/>
    <sheet name="seasonAwards" sheetId="9" r:id="rId9"/>
    <sheet name="README_playerGameStats" sheetId="11" r:id="rId10"/>
    <sheet name="selection_values" sheetId="2" r:id="rId11"/>
  </sheets>
  <definedNames>
    <definedName name="_xlnm._FilterDatabase" localSheetId="5" hidden="1">games!$A$1:$T$41</definedName>
    <definedName name="_xlnm._FilterDatabase" localSheetId="6" hidden="1">playerGameStats!$A$1:$U$506</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43" i="10" l="1"/>
  <c r="Q544" i="10"/>
  <c r="Q545" i="10"/>
  <c r="Q546" i="10"/>
  <c r="Q547" i="10"/>
  <c r="Q548" i="10"/>
  <c r="Q549" i="10"/>
  <c r="Q538" i="10"/>
  <c r="Q539" i="10"/>
  <c r="Q540" i="10"/>
  <c r="Q541" i="10"/>
  <c r="Q542" i="10"/>
  <c r="Q531" i="10"/>
  <c r="Q532" i="10"/>
  <c r="Q533" i="10"/>
  <c r="Q534" i="10"/>
  <c r="Q535" i="10"/>
  <c r="Q536" i="10"/>
  <c r="Q537" i="10"/>
  <c r="Q522" i="10"/>
  <c r="Q523" i="10"/>
  <c r="Q524" i="10"/>
  <c r="Q525" i="10"/>
  <c r="Q526" i="10"/>
  <c r="Q527" i="10"/>
  <c r="Q528" i="10"/>
  <c r="Q529" i="10"/>
  <c r="Q530" i="10"/>
  <c r="Q515" i="10"/>
  <c r="Q516" i="10"/>
  <c r="Q517" i="10"/>
  <c r="Q518" i="10"/>
  <c r="Q519" i="10"/>
  <c r="Q520" i="10"/>
  <c r="Q521" i="10"/>
  <c r="Q507" i="10"/>
  <c r="Q508" i="10"/>
  <c r="Q509" i="10"/>
  <c r="Q510" i="10"/>
  <c r="Q511" i="10"/>
  <c r="Q512" i="10"/>
  <c r="Q513" i="10"/>
  <c r="Q514" i="10"/>
  <c r="A10" i="7"/>
  <c r="A14" i="7"/>
  <c r="A7" i="7"/>
  <c r="A4" i="7"/>
  <c r="A3" i="7"/>
  <c r="A5" i="7"/>
  <c r="A6" i="7"/>
  <c r="A8" i="7"/>
  <c r="A9" i="7"/>
  <c r="A11" i="7"/>
  <c r="A12" i="7"/>
  <c r="A13" i="7"/>
  <c r="A15" i="7"/>
  <c r="A16" i="7"/>
  <c r="A17" i="7"/>
  <c r="A18" i="7"/>
  <c r="A19" i="7"/>
  <c r="A20" i="7"/>
  <c r="A21" i="7"/>
  <c r="A22" i="7"/>
  <c r="A23" i="7"/>
  <c r="A24" i="7"/>
  <c r="A2" i="7"/>
  <c r="Q209" i="10"/>
  <c r="P506" i="10" a="1"/>
  <c r="P506" i="10" s="1"/>
  <c r="P505" i="10" a="1"/>
  <c r="P505" i="10" s="1"/>
  <c r="P504" i="10" a="1"/>
  <c r="P504" i="10" s="1"/>
  <c r="P503" i="10" a="1"/>
  <c r="P503" i="10" s="1"/>
  <c r="P502" i="10" a="1"/>
  <c r="P502" i="10" s="1"/>
  <c r="P501" i="10" a="1"/>
  <c r="P501" i="10" s="1"/>
  <c r="P500" i="10" a="1"/>
  <c r="P500" i="10" s="1"/>
  <c r="P499" i="10" a="1"/>
  <c r="P499" i="10" s="1"/>
  <c r="P498" i="10" a="1"/>
  <c r="P498" i="10" s="1"/>
  <c r="P497" i="10" a="1"/>
  <c r="P497" i="10" s="1"/>
  <c r="P496" i="10" a="1"/>
  <c r="P496" i="10" s="1"/>
  <c r="P495" i="10" a="1"/>
  <c r="P495" i="10" s="1"/>
  <c r="P494" i="10" a="1"/>
  <c r="P494" i="10" s="1"/>
  <c r="P493" i="10" a="1"/>
  <c r="P493" i="10" s="1"/>
  <c r="P492" i="10" a="1"/>
  <c r="P492" i="10" s="1"/>
  <c r="P491" i="10" a="1"/>
  <c r="P491" i="10" s="1"/>
  <c r="P490" i="10" a="1"/>
  <c r="P490" i="10" s="1"/>
  <c r="P489" i="10" a="1"/>
  <c r="P489" i="10" s="1"/>
  <c r="P488" i="10" a="1"/>
  <c r="P488" i="10" s="1"/>
  <c r="P487" i="10" a="1"/>
  <c r="P487" i="10" s="1"/>
  <c r="P486" i="10" a="1"/>
  <c r="P486" i="10" s="1"/>
  <c r="P485" i="10" a="1"/>
  <c r="P485" i="10" s="1"/>
  <c r="P484" i="10" a="1"/>
  <c r="P484" i="10" s="1"/>
  <c r="P483" i="10" a="1"/>
  <c r="P483" i="10" s="1"/>
  <c r="P482" i="10" a="1"/>
  <c r="P482" i="10" s="1"/>
  <c r="P481" i="10" a="1"/>
  <c r="P481" i="10" s="1"/>
  <c r="P480" i="10" a="1"/>
  <c r="P480" i="10" s="1"/>
  <c r="P479" i="10" a="1"/>
  <c r="P479" i="10" s="1"/>
  <c r="P478" i="10" a="1"/>
  <c r="P478" i="10" s="1"/>
  <c r="P477" i="10" a="1"/>
  <c r="P477" i="10" s="1"/>
  <c r="P476" i="10" a="1"/>
  <c r="P476" i="10" s="1"/>
  <c r="P475" i="10" a="1"/>
  <c r="P475" i="10" s="1"/>
  <c r="P474" i="10" a="1"/>
  <c r="P474" i="10" s="1"/>
  <c r="P473" i="10" a="1"/>
  <c r="P473" i="10" s="1"/>
  <c r="P472" i="10" a="1"/>
  <c r="P472" i="10" s="1"/>
  <c r="P471" i="10" a="1"/>
  <c r="P471" i="10" s="1"/>
  <c r="P470" i="10" a="1"/>
  <c r="P470" i="10" s="1"/>
  <c r="P469" i="10" a="1"/>
  <c r="P469" i="10" s="1"/>
  <c r="P468" i="10" a="1"/>
  <c r="P468" i="10" s="1"/>
  <c r="P467" i="10" a="1"/>
  <c r="P467" i="10" s="1"/>
  <c r="P466" i="10" a="1"/>
  <c r="P466" i="10" s="1"/>
  <c r="P465" i="10" a="1"/>
  <c r="P465" i="10" s="1"/>
  <c r="P464" i="10" a="1"/>
  <c r="P464" i="10" s="1"/>
  <c r="P463" i="10" a="1"/>
  <c r="P463" i="10" s="1"/>
  <c r="P462" i="10" a="1"/>
  <c r="P462" i="10" s="1"/>
  <c r="P461" i="10" a="1"/>
  <c r="P461" i="10" s="1"/>
  <c r="P460" i="10" a="1"/>
  <c r="P460" i="10" s="1"/>
  <c r="P459" i="10" a="1"/>
  <c r="P459" i="10" s="1"/>
  <c r="P458" i="10" a="1"/>
  <c r="P458" i="10" s="1"/>
  <c r="P457" i="10" a="1"/>
  <c r="P457" i="10" s="1"/>
  <c r="P456" i="10" a="1"/>
  <c r="P456" i="10" s="1"/>
  <c r="P455" i="10" a="1"/>
  <c r="P455" i="10" s="1"/>
  <c r="P454" i="10" a="1"/>
  <c r="P454" i="10" s="1"/>
  <c r="P453" i="10" a="1"/>
  <c r="P453" i="10" s="1"/>
  <c r="P452" i="10" a="1"/>
  <c r="P452" i="10" s="1"/>
  <c r="P451" i="10" a="1"/>
  <c r="P451" i="10" s="1"/>
  <c r="P450" i="10" a="1"/>
  <c r="P450" i="10" s="1"/>
  <c r="P449" i="10" a="1"/>
  <c r="P449" i="10" s="1"/>
  <c r="P448" i="10" a="1"/>
  <c r="P448" i="10" s="1"/>
  <c r="P447" i="10" a="1"/>
  <c r="P447" i="10" s="1"/>
  <c r="P446" i="10" a="1"/>
  <c r="P446" i="10" s="1"/>
  <c r="P445" i="10" a="1"/>
  <c r="P445" i="10" s="1"/>
  <c r="P444" i="10" a="1"/>
  <c r="P444" i="10" s="1"/>
  <c r="P443" i="10" a="1"/>
  <c r="P443" i="10" s="1"/>
  <c r="P442" i="10" a="1"/>
  <c r="P442" i="10" s="1"/>
  <c r="P441" i="10" a="1"/>
  <c r="P441" i="10" s="1"/>
  <c r="P440" i="10" a="1"/>
  <c r="P440" i="10" s="1"/>
  <c r="P439" i="10" a="1"/>
  <c r="P439" i="10" s="1"/>
  <c r="P438" i="10" a="1"/>
  <c r="P438" i="10" s="1"/>
  <c r="P437" i="10" a="1"/>
  <c r="P437" i="10" s="1"/>
  <c r="P436" i="10" a="1"/>
  <c r="P436" i="10" s="1"/>
  <c r="P435" i="10" a="1"/>
  <c r="P435" i="10" s="1"/>
  <c r="P434" i="10" a="1"/>
  <c r="P434" i="10" s="1"/>
  <c r="P433" i="10" a="1"/>
  <c r="P433" i="10" s="1"/>
  <c r="P432" i="10" a="1"/>
  <c r="P432" i="10" s="1"/>
  <c r="P431" i="10" a="1"/>
  <c r="P431" i="10" s="1"/>
  <c r="P430" i="10" a="1"/>
  <c r="P430" i="10" s="1"/>
  <c r="P429" i="10" a="1"/>
  <c r="P429" i="10" s="1"/>
  <c r="P428" i="10" a="1"/>
  <c r="P428" i="10" s="1"/>
  <c r="P427" i="10" a="1"/>
  <c r="P427" i="10" s="1"/>
  <c r="P426" i="10" a="1"/>
  <c r="P426" i="10" s="1"/>
  <c r="P425" i="10" a="1"/>
  <c r="P425" i="10" s="1"/>
  <c r="P424" i="10" a="1"/>
  <c r="P424" i="10" s="1"/>
  <c r="P423" i="10" a="1"/>
  <c r="P423" i="10" s="1"/>
  <c r="P422" i="10" a="1"/>
  <c r="P422" i="10" s="1"/>
  <c r="P421" i="10" a="1"/>
  <c r="P421" i="10" s="1"/>
  <c r="P420" i="10" a="1"/>
  <c r="P420" i="10" s="1"/>
  <c r="P419" i="10" a="1"/>
  <c r="P419" i="10" s="1"/>
  <c r="P418" i="10" a="1"/>
  <c r="P418" i="10" s="1"/>
  <c r="P417" i="10" a="1"/>
  <c r="P417" i="10" s="1"/>
  <c r="P416" i="10" a="1"/>
  <c r="P416" i="10" s="1"/>
  <c r="P415" i="10" a="1"/>
  <c r="P415" i="10" s="1"/>
  <c r="P414" i="10" a="1"/>
  <c r="P414" i="10" s="1"/>
  <c r="P413" i="10" a="1"/>
  <c r="P413" i="10" s="1"/>
  <c r="P412" i="10" a="1"/>
  <c r="P412" i="10" s="1"/>
  <c r="P411" i="10" a="1"/>
  <c r="P411" i="10" s="1"/>
  <c r="P410" i="10" a="1"/>
  <c r="P410" i="10" s="1"/>
  <c r="P409" i="10" a="1"/>
  <c r="P409" i="10" s="1"/>
  <c r="P408" i="10" a="1"/>
  <c r="P408" i="10" s="1"/>
  <c r="P407" i="10" a="1"/>
  <c r="P407" i="10" s="1"/>
  <c r="P406" i="10" a="1"/>
  <c r="P406" i="10" s="1"/>
  <c r="P405" i="10" a="1"/>
  <c r="P405" i="10" s="1"/>
  <c r="P404" i="10" a="1"/>
  <c r="P404" i="10" s="1"/>
  <c r="P403" i="10" a="1"/>
  <c r="P403" i="10" s="1"/>
  <c r="P402" i="10" a="1"/>
  <c r="P402" i="10" s="1"/>
  <c r="P401" i="10" a="1"/>
  <c r="P401" i="10" s="1"/>
  <c r="P400" i="10" a="1"/>
  <c r="P400" i="10" s="1"/>
  <c r="P399" i="10" a="1"/>
  <c r="P399" i="10" s="1"/>
  <c r="P398" i="10" a="1"/>
  <c r="P398" i="10" s="1"/>
  <c r="P397" i="10" a="1"/>
  <c r="P397" i="10" s="1"/>
  <c r="P396" i="10" a="1"/>
  <c r="P396" i="10" s="1"/>
  <c r="P395" i="10" a="1"/>
  <c r="P395" i="10" s="1"/>
  <c r="P394" i="10" a="1"/>
  <c r="P394" i="10" s="1"/>
  <c r="P393" i="10" a="1"/>
  <c r="P393" i="10" s="1"/>
  <c r="P392" i="10" a="1"/>
  <c r="P392" i="10" s="1"/>
  <c r="P391" i="10" a="1"/>
  <c r="P391" i="10" s="1"/>
  <c r="P390" i="10" a="1"/>
  <c r="P390" i="10" s="1"/>
  <c r="P389" i="10" a="1"/>
  <c r="P389" i="10" s="1"/>
  <c r="P388" i="10" a="1"/>
  <c r="P388" i="10" s="1"/>
  <c r="P387" i="10" a="1"/>
  <c r="P387" i="10" s="1"/>
  <c r="P386" i="10" a="1"/>
  <c r="P386" i="10" s="1"/>
  <c r="P385" i="10" a="1"/>
  <c r="P385" i="10" s="1"/>
  <c r="P384" i="10" a="1"/>
  <c r="P384" i="10" s="1"/>
  <c r="P383" i="10" a="1"/>
  <c r="P383" i="10" s="1"/>
  <c r="P382" i="10" a="1"/>
  <c r="P382" i="10" s="1"/>
  <c r="P381" i="10" a="1"/>
  <c r="P381" i="10" s="1"/>
  <c r="P380" i="10" a="1"/>
  <c r="P380" i="10" s="1"/>
  <c r="P379" i="10" a="1"/>
  <c r="P379" i="10" s="1"/>
  <c r="P378" i="10" a="1"/>
  <c r="P378" i="10" s="1"/>
  <c r="P377" i="10" a="1"/>
  <c r="P377" i="10" s="1"/>
  <c r="P376" i="10" a="1"/>
  <c r="P376" i="10" s="1"/>
  <c r="P375" i="10" a="1"/>
  <c r="P375" i="10" s="1"/>
  <c r="P374" i="10" a="1"/>
  <c r="P374" i="10" s="1"/>
  <c r="P373" i="10" a="1"/>
  <c r="P373" i="10" s="1"/>
  <c r="P372" i="10" a="1"/>
  <c r="P372" i="10" s="1"/>
  <c r="P371" i="10" a="1"/>
  <c r="P371" i="10" s="1"/>
  <c r="P370" i="10" a="1"/>
  <c r="P370" i="10" s="1"/>
  <c r="P369" i="10" a="1"/>
  <c r="P369" i="10" s="1"/>
  <c r="P368" i="10" a="1"/>
  <c r="P368" i="10" s="1"/>
  <c r="P367" i="10" a="1"/>
  <c r="P367" i="10" s="1"/>
  <c r="P366" i="10" a="1"/>
  <c r="P366" i="10" s="1"/>
  <c r="P365" i="10" a="1"/>
  <c r="P365" i="10" s="1"/>
  <c r="P364" i="10" a="1"/>
  <c r="P364" i="10" s="1"/>
  <c r="P363" i="10" a="1"/>
  <c r="P363" i="10" s="1"/>
  <c r="P362" i="10" a="1"/>
  <c r="P362" i="10" s="1"/>
  <c r="P361" i="10" a="1"/>
  <c r="P361" i="10" s="1"/>
  <c r="P360" i="10" a="1"/>
  <c r="P360" i="10" s="1"/>
  <c r="P359" i="10" a="1"/>
  <c r="P359" i="10" s="1"/>
  <c r="P358" i="10" a="1"/>
  <c r="P358" i="10" s="1"/>
  <c r="P357" i="10" a="1"/>
  <c r="P357" i="10" s="1"/>
  <c r="P356" i="10" a="1"/>
  <c r="P356" i="10" s="1"/>
  <c r="P355" i="10" a="1"/>
  <c r="P355" i="10" s="1"/>
  <c r="P354" i="10" a="1"/>
  <c r="P354" i="10" s="1"/>
  <c r="P353" i="10" a="1"/>
  <c r="P353" i="10" s="1"/>
  <c r="P352" i="10" a="1"/>
  <c r="P352" i="10" s="1"/>
  <c r="P351" i="10" a="1"/>
  <c r="P351" i="10" s="1"/>
  <c r="P350" i="10" a="1"/>
  <c r="P350" i="10" s="1"/>
  <c r="P349" i="10" a="1"/>
  <c r="P349" i="10" s="1"/>
  <c r="P348" i="10" a="1"/>
  <c r="P348" i="10" s="1"/>
  <c r="P347" i="10" a="1"/>
  <c r="P347" i="10" s="1"/>
  <c r="P346" i="10" a="1"/>
  <c r="P346" i="10" s="1"/>
  <c r="P345" i="10" a="1"/>
  <c r="P345" i="10" s="1"/>
  <c r="P344" i="10" a="1"/>
  <c r="P344" i="10" s="1"/>
  <c r="P343" i="10" a="1"/>
  <c r="P343" i="10" s="1"/>
  <c r="P342" i="10" a="1"/>
  <c r="P342" i="10" s="1"/>
  <c r="P341" i="10" a="1"/>
  <c r="P341" i="10" s="1"/>
  <c r="P340" i="10" a="1"/>
  <c r="P340" i="10" s="1"/>
  <c r="P339" i="10" a="1"/>
  <c r="P339" i="10" s="1"/>
  <c r="P338" i="10" a="1"/>
  <c r="P338" i="10" s="1"/>
  <c r="P337" i="10" a="1"/>
  <c r="P337" i="10" s="1"/>
  <c r="P336" i="10" a="1"/>
  <c r="P336" i="10" s="1"/>
  <c r="P335" i="10" a="1"/>
  <c r="P335" i="10" s="1"/>
  <c r="P334" i="10" a="1"/>
  <c r="P334" i="10" s="1"/>
  <c r="P333" i="10" a="1"/>
  <c r="P333" i="10" s="1"/>
  <c r="P332" i="10" a="1"/>
  <c r="P332" i="10" s="1"/>
  <c r="P331" i="10" a="1"/>
  <c r="P331" i="10" s="1"/>
  <c r="P330" i="10" a="1"/>
  <c r="P330" i="10" s="1"/>
  <c r="P329" i="10" a="1"/>
  <c r="P329" i="10" s="1"/>
  <c r="P328" i="10" a="1"/>
  <c r="P328" i="10" s="1"/>
  <c r="P327" i="10" a="1"/>
  <c r="P327" i="10" s="1"/>
  <c r="P326" i="10" a="1"/>
  <c r="P326" i="10" s="1"/>
  <c r="P325" i="10" a="1"/>
  <c r="P325" i="10" s="1"/>
  <c r="P324" i="10" a="1"/>
  <c r="P324" i="10" s="1"/>
  <c r="P323" i="10" a="1"/>
  <c r="P323" i="10" s="1"/>
  <c r="P322" i="10" a="1"/>
  <c r="P322" i="10" s="1"/>
  <c r="P321" i="10" a="1"/>
  <c r="P321" i="10" s="1"/>
  <c r="P320" i="10" a="1"/>
  <c r="P320" i="10" s="1"/>
  <c r="P319" i="10" a="1"/>
  <c r="P319" i="10" s="1"/>
  <c r="P318" i="10" a="1"/>
  <c r="P318" i="10" s="1"/>
  <c r="P317" i="10" a="1"/>
  <c r="P317" i="10" s="1"/>
  <c r="P316" i="10" a="1"/>
  <c r="P316" i="10" s="1"/>
  <c r="P315" i="10" a="1"/>
  <c r="P315" i="10" s="1"/>
  <c r="P314" i="10" a="1"/>
  <c r="P314" i="10" s="1"/>
  <c r="P313" i="10" a="1"/>
  <c r="P313" i="10" s="1"/>
  <c r="P312" i="10" a="1"/>
  <c r="P312" i="10" s="1"/>
  <c r="P311" i="10" a="1"/>
  <c r="P311" i="10" s="1"/>
  <c r="P310" i="10" a="1"/>
  <c r="P310" i="10" s="1"/>
  <c r="P309" i="10" a="1"/>
  <c r="P309" i="10" s="1"/>
  <c r="P308" i="10" a="1"/>
  <c r="P308" i="10" s="1"/>
  <c r="P307" i="10" a="1"/>
  <c r="P307" i="10" s="1"/>
  <c r="P306" i="10" a="1"/>
  <c r="P306" i="10" s="1"/>
  <c r="P305" i="10" a="1"/>
  <c r="P305" i="10" s="1"/>
  <c r="P304" i="10" a="1"/>
  <c r="P304" i="10" s="1"/>
  <c r="P303" i="10" a="1"/>
  <c r="P303" i="10" s="1"/>
  <c r="P302" i="10" a="1"/>
  <c r="P302" i="10" s="1"/>
  <c r="P301" i="10" a="1"/>
  <c r="P301" i="10" s="1"/>
  <c r="P300" i="10" a="1"/>
  <c r="P300" i="10" s="1"/>
  <c r="P299" i="10" a="1"/>
  <c r="P299" i="10" s="1"/>
  <c r="P298" i="10" a="1"/>
  <c r="P298" i="10" s="1"/>
  <c r="P297" i="10" a="1"/>
  <c r="P297" i="10" s="1"/>
  <c r="P296" i="10" a="1"/>
  <c r="P296" i="10" s="1"/>
  <c r="P295" i="10" a="1"/>
  <c r="P295" i="10" s="1"/>
  <c r="P294" i="10" a="1"/>
  <c r="P294" i="10" s="1"/>
  <c r="P293" i="10" a="1"/>
  <c r="P293" i="10" s="1"/>
  <c r="P292" i="10" a="1"/>
  <c r="P292" i="10" s="1"/>
  <c r="P291" i="10" a="1"/>
  <c r="P291" i="10" s="1"/>
  <c r="P290" i="10" a="1"/>
  <c r="P290" i="10" s="1"/>
  <c r="P289" i="10" a="1"/>
  <c r="P289" i="10" s="1"/>
  <c r="P288" i="10" a="1"/>
  <c r="P288" i="10" s="1"/>
  <c r="P287" i="10" a="1"/>
  <c r="P287" i="10" s="1"/>
  <c r="P286" i="10" a="1"/>
  <c r="P286" i="10" s="1"/>
  <c r="P285" i="10" a="1"/>
  <c r="P285" i="10" s="1"/>
  <c r="P284" i="10" a="1"/>
  <c r="P284" i="10" s="1"/>
  <c r="P283" i="10" a="1"/>
  <c r="P283" i="10" s="1"/>
  <c r="P282" i="10" a="1"/>
  <c r="P282" i="10" s="1"/>
  <c r="P281" i="10" a="1"/>
  <c r="P281" i="10" s="1"/>
  <c r="P280" i="10" a="1"/>
  <c r="P280" i="10" s="1"/>
  <c r="P279" i="10" a="1"/>
  <c r="P279" i="10" s="1"/>
  <c r="P278" i="10" a="1"/>
  <c r="P278" i="10" s="1"/>
  <c r="P277" i="10" a="1"/>
  <c r="P277" i="10" s="1"/>
  <c r="P276" i="10" a="1"/>
  <c r="P276" i="10" s="1"/>
  <c r="P275" i="10" a="1"/>
  <c r="P275" i="10" s="1"/>
  <c r="P274" i="10" a="1"/>
  <c r="P274" i="10" s="1"/>
  <c r="P273" i="10" a="1"/>
  <c r="P273" i="10" s="1"/>
  <c r="P272" i="10" a="1"/>
  <c r="P272" i="10" s="1"/>
  <c r="P271" i="10" a="1"/>
  <c r="P271" i="10" s="1"/>
  <c r="P270" i="10" a="1"/>
  <c r="P270" i="10" s="1"/>
  <c r="P269" i="10" a="1"/>
  <c r="P269" i="10" s="1"/>
  <c r="P268" i="10" a="1"/>
  <c r="P268" i="10" s="1"/>
  <c r="P267" i="10" a="1"/>
  <c r="P267" i="10" s="1"/>
  <c r="P266" i="10" a="1"/>
  <c r="P266" i="10" s="1"/>
  <c r="P265" i="10" a="1"/>
  <c r="P265" i="10" s="1"/>
  <c r="P264" i="10" a="1"/>
  <c r="P264" i="10" s="1"/>
  <c r="P263" i="10" a="1"/>
  <c r="P263" i="10" s="1"/>
  <c r="P262" i="10" a="1"/>
  <c r="P262" i="10" s="1"/>
  <c r="P261" i="10" a="1"/>
  <c r="P261" i="10" s="1"/>
  <c r="P260" i="10" a="1"/>
  <c r="P260" i="10" s="1"/>
  <c r="P259" i="10" a="1"/>
  <c r="P259" i="10" s="1"/>
  <c r="P258" i="10" a="1"/>
  <c r="P258" i="10" s="1"/>
  <c r="P257" i="10" a="1"/>
  <c r="P257" i="10" s="1"/>
  <c r="P256" i="10" a="1"/>
  <c r="P256" i="10" s="1"/>
  <c r="P255" i="10" a="1"/>
  <c r="P255" i="10" s="1"/>
  <c r="P254" i="10" a="1"/>
  <c r="P254" i="10" s="1"/>
  <c r="P253" i="10" a="1"/>
  <c r="P253" i="10" s="1"/>
  <c r="P252" i="10" a="1"/>
  <c r="P252" i="10" s="1"/>
  <c r="P251" i="10" a="1"/>
  <c r="P251" i="10" s="1"/>
  <c r="P250" i="10" a="1"/>
  <c r="P250" i="10" s="1"/>
  <c r="P249" i="10" a="1"/>
  <c r="P249" i="10" s="1"/>
  <c r="P248" i="10" a="1"/>
  <c r="P248" i="10" s="1"/>
  <c r="P247" i="10" a="1"/>
  <c r="P247" i="10" s="1"/>
  <c r="P246" i="10" a="1"/>
  <c r="P246" i="10" s="1"/>
  <c r="P245" i="10" a="1"/>
  <c r="P245" i="10" s="1"/>
  <c r="P244" i="10" a="1"/>
  <c r="P244" i="10" s="1"/>
  <c r="P243" i="10" a="1"/>
  <c r="P243" i="10" s="1"/>
  <c r="P242" i="10" a="1"/>
  <c r="P242" i="10" s="1"/>
  <c r="P241" i="10" a="1"/>
  <c r="P241" i="10" s="1"/>
  <c r="P240" i="10" a="1"/>
  <c r="P240" i="10" s="1"/>
  <c r="P239" i="10" a="1"/>
  <c r="P239" i="10" s="1"/>
  <c r="P238" i="10" a="1"/>
  <c r="P238" i="10" s="1"/>
  <c r="P237" i="10" a="1"/>
  <c r="P237" i="10" s="1"/>
  <c r="P236" i="10" a="1"/>
  <c r="P236" i="10" s="1"/>
  <c r="P235" i="10" a="1"/>
  <c r="P235" i="10" s="1"/>
  <c r="P234" i="10" a="1"/>
  <c r="P234" i="10" s="1"/>
  <c r="P233" i="10" a="1"/>
  <c r="P233" i="10" s="1"/>
  <c r="P232" i="10" a="1"/>
  <c r="P232" i="10" s="1"/>
  <c r="P231" i="10" a="1"/>
  <c r="P231" i="10" s="1"/>
  <c r="P230" i="10" a="1"/>
  <c r="P230" i="10" s="1"/>
  <c r="P229" i="10" a="1"/>
  <c r="P229" i="10" s="1"/>
  <c r="P228" i="10" a="1"/>
  <c r="P228" i="10" s="1"/>
  <c r="P227" i="10" a="1"/>
  <c r="P227" i="10" s="1"/>
  <c r="P226" i="10" a="1"/>
  <c r="P226" i="10" s="1"/>
  <c r="P225" i="10" a="1"/>
  <c r="P225" i="10" s="1"/>
  <c r="P224" i="10" a="1"/>
  <c r="P224" i="10" s="1"/>
  <c r="P223" i="10" a="1"/>
  <c r="P223" i="10" s="1"/>
  <c r="P222" i="10" a="1"/>
  <c r="P222" i="10" s="1"/>
  <c r="P221" i="10" a="1"/>
  <c r="P221" i="10" s="1"/>
  <c r="P220" i="10" a="1"/>
  <c r="P220" i="10" s="1"/>
  <c r="P219" i="10" a="1"/>
  <c r="P219" i="10" s="1"/>
  <c r="P218" i="10" a="1"/>
  <c r="P218" i="10" s="1"/>
  <c r="P217" i="10" a="1"/>
  <c r="P217" i="10" s="1"/>
  <c r="P216" i="10" a="1"/>
  <c r="P216" i="10" s="1"/>
  <c r="P215" i="10" a="1"/>
  <c r="P215" i="10" s="1"/>
  <c r="P214" i="10" a="1"/>
  <c r="P214" i="10" s="1"/>
  <c r="P213" i="10" a="1"/>
  <c r="P213" i="10" s="1"/>
  <c r="P212" i="10" a="1"/>
  <c r="P212" i="10" s="1"/>
  <c r="P211" i="10" a="1"/>
  <c r="P211" i="10" s="1"/>
  <c r="P210" i="10" a="1"/>
  <c r="P210" i="10" s="1"/>
  <c r="P209" i="10" a="1"/>
  <c r="P209" i="10" s="1"/>
  <c r="P208" i="10" a="1"/>
  <c r="P208" i="10" s="1"/>
  <c r="P207" i="10" a="1"/>
  <c r="P207" i="10" s="1"/>
  <c r="P206" i="10" a="1"/>
  <c r="P206" i="10" s="1"/>
  <c r="P205" i="10" a="1"/>
  <c r="P205" i="10" s="1"/>
  <c r="P204" i="10" a="1"/>
  <c r="P204" i="10" s="1"/>
  <c r="P203" i="10" a="1"/>
  <c r="P203" i="10" s="1"/>
  <c r="P202" i="10" a="1"/>
  <c r="P202" i="10" s="1"/>
  <c r="P201" i="10" a="1"/>
  <c r="P201" i="10" s="1"/>
  <c r="P200" i="10" a="1"/>
  <c r="P200" i="10" s="1"/>
  <c r="P199" i="10" a="1"/>
  <c r="P199" i="10" s="1"/>
  <c r="P198" i="10" a="1"/>
  <c r="P198" i="10" s="1"/>
  <c r="P197" i="10" a="1"/>
  <c r="P197" i="10" s="1"/>
  <c r="P196" i="10" a="1"/>
  <c r="P196" i="10" s="1"/>
  <c r="P195" i="10" a="1"/>
  <c r="P195" i="10" s="1"/>
  <c r="P194" i="10" a="1"/>
  <c r="P194" i="10" s="1"/>
  <c r="P193" i="10" a="1"/>
  <c r="P193" i="10" s="1"/>
  <c r="P192" i="10" a="1"/>
  <c r="P192" i="10" s="1"/>
  <c r="P191" i="10" a="1"/>
  <c r="P191" i="10" s="1"/>
  <c r="P190" i="10" a="1"/>
  <c r="P190" i="10" s="1"/>
  <c r="P189" i="10" a="1"/>
  <c r="P189" i="10" s="1"/>
  <c r="P188" i="10" a="1"/>
  <c r="P188" i="10" s="1"/>
  <c r="P187" i="10" a="1"/>
  <c r="P187" i="10" s="1"/>
  <c r="P186" i="10" a="1"/>
  <c r="P186" i="10" s="1"/>
  <c r="P185" i="10" a="1"/>
  <c r="P185" i="10" s="1"/>
  <c r="P184" i="10" a="1"/>
  <c r="P184" i="10" s="1"/>
  <c r="P183" i="10" a="1"/>
  <c r="P183" i="10" s="1"/>
  <c r="P182" i="10" a="1"/>
  <c r="P182" i="10" s="1"/>
  <c r="P181" i="10" a="1"/>
  <c r="P181" i="10" s="1"/>
  <c r="P180" i="10" a="1"/>
  <c r="P180" i="10" s="1"/>
  <c r="P179" i="10" a="1"/>
  <c r="P179" i="10" s="1"/>
  <c r="P178" i="10" a="1"/>
  <c r="P178" i="10" s="1"/>
  <c r="P177" i="10" a="1"/>
  <c r="P177" i="10" s="1"/>
  <c r="P176" i="10" a="1"/>
  <c r="P176" i="10" s="1"/>
  <c r="P175" i="10" a="1"/>
  <c r="P175" i="10" s="1"/>
  <c r="P174" i="10" a="1"/>
  <c r="P174" i="10" s="1"/>
  <c r="P173" i="10" a="1"/>
  <c r="P173" i="10" s="1"/>
  <c r="P172" i="10" a="1"/>
  <c r="P172" i="10" s="1"/>
  <c r="P171" i="10" a="1"/>
  <c r="P171" i="10" s="1"/>
  <c r="P170" i="10" a="1"/>
  <c r="P170" i="10" s="1"/>
  <c r="P169" i="10" a="1"/>
  <c r="P169" i="10" s="1"/>
  <c r="P168" i="10" a="1"/>
  <c r="P168" i="10" s="1"/>
  <c r="P167" i="10" a="1"/>
  <c r="P167" i="10" s="1"/>
  <c r="P166" i="10" a="1"/>
  <c r="P166" i="10" s="1"/>
  <c r="P165" i="10" a="1"/>
  <c r="P165" i="10" s="1"/>
  <c r="P164" i="10" a="1"/>
  <c r="P164" i="10" s="1"/>
  <c r="P163" i="10" a="1"/>
  <c r="P163" i="10" s="1"/>
  <c r="P162" i="10" a="1"/>
  <c r="P162" i="10" s="1"/>
  <c r="P161" i="10" a="1"/>
  <c r="P161" i="10" s="1"/>
  <c r="P160" i="10" a="1"/>
  <c r="P160" i="10" s="1"/>
  <c r="P159" i="10" a="1"/>
  <c r="P159" i="10" s="1"/>
  <c r="P158" i="10" a="1"/>
  <c r="P158" i="10" s="1"/>
  <c r="P157" i="10" a="1"/>
  <c r="P157" i="10" s="1"/>
  <c r="P156" i="10" a="1"/>
  <c r="P156" i="10" s="1"/>
  <c r="P155" i="10" a="1"/>
  <c r="P155" i="10" s="1"/>
  <c r="P154" i="10" a="1"/>
  <c r="P154" i="10" s="1"/>
  <c r="P153" i="10" a="1"/>
  <c r="P153" i="10" s="1"/>
  <c r="P152" i="10" a="1"/>
  <c r="P152" i="10" s="1"/>
  <c r="P151" i="10" a="1"/>
  <c r="P151" i="10" s="1"/>
  <c r="P150" i="10" a="1"/>
  <c r="P150" i="10" s="1"/>
  <c r="P149" i="10" a="1"/>
  <c r="P149" i="10" s="1"/>
  <c r="P148" i="10" a="1"/>
  <c r="P148" i="10" s="1"/>
  <c r="P147" i="10" a="1"/>
  <c r="P147" i="10" s="1"/>
  <c r="P146" i="10" a="1"/>
  <c r="P146" i="10" s="1"/>
  <c r="P145" i="10" a="1"/>
  <c r="P145" i="10" s="1"/>
  <c r="P144" i="10" a="1"/>
  <c r="P144" i="10" s="1"/>
  <c r="P143" i="10" a="1"/>
  <c r="P143" i="10" s="1"/>
  <c r="P142" i="10" a="1"/>
  <c r="P142" i="10" s="1"/>
  <c r="P141" i="10" a="1"/>
  <c r="P141" i="10" s="1"/>
  <c r="P140" i="10" a="1"/>
  <c r="P140" i="10" s="1"/>
  <c r="P139" i="10" a="1"/>
  <c r="P139" i="10" s="1"/>
  <c r="P138" i="10" a="1"/>
  <c r="P138" i="10" s="1"/>
  <c r="P137" i="10" a="1"/>
  <c r="P137" i="10" s="1"/>
  <c r="P136" i="10" a="1"/>
  <c r="P136" i="10" s="1"/>
  <c r="P135" i="10" a="1"/>
  <c r="P135" i="10" s="1"/>
  <c r="P134" i="10" a="1"/>
  <c r="P134" i="10" s="1"/>
  <c r="P133" i="10" a="1"/>
  <c r="P133" i="10" s="1"/>
  <c r="P132" i="10" a="1"/>
  <c r="P132" i="10" s="1"/>
  <c r="P131" i="10" a="1"/>
  <c r="P131" i="10" s="1"/>
  <c r="P130" i="10" a="1"/>
  <c r="P130" i="10" s="1"/>
  <c r="P129" i="10" a="1"/>
  <c r="P129" i="10" s="1"/>
  <c r="P128" i="10" a="1"/>
  <c r="P128" i="10" s="1"/>
  <c r="P127" i="10" a="1"/>
  <c r="P127" i="10" s="1"/>
  <c r="P126" i="10" a="1"/>
  <c r="P126" i="10" s="1"/>
  <c r="P125" i="10" a="1"/>
  <c r="P125" i="10" s="1"/>
  <c r="P124" i="10" a="1"/>
  <c r="P124" i="10" s="1"/>
  <c r="P123" i="10" a="1"/>
  <c r="P123" i="10" s="1"/>
  <c r="P122" i="10" a="1"/>
  <c r="P122" i="10" s="1"/>
  <c r="P121" i="10" a="1"/>
  <c r="P121" i="10" s="1"/>
  <c r="P120" i="10" a="1"/>
  <c r="P120" i="10" s="1"/>
  <c r="P119" i="10" a="1"/>
  <c r="P119" i="10" s="1"/>
  <c r="P118" i="10" a="1"/>
  <c r="P118" i="10" s="1"/>
  <c r="P117" i="10" a="1"/>
  <c r="P117" i="10" s="1"/>
  <c r="P116" i="10" a="1"/>
  <c r="P116" i="10" s="1"/>
  <c r="P115" i="10" a="1"/>
  <c r="P115" i="10" s="1"/>
  <c r="P114" i="10" a="1"/>
  <c r="P114" i="10" s="1"/>
  <c r="P113" i="10" a="1"/>
  <c r="P113" i="10" s="1"/>
  <c r="P112" i="10" a="1"/>
  <c r="P112" i="10" s="1"/>
  <c r="P111" i="10" a="1"/>
  <c r="P111" i="10" s="1"/>
  <c r="P110" i="10" a="1"/>
  <c r="P110" i="10" s="1"/>
  <c r="P109" i="10" a="1"/>
  <c r="P109" i="10" s="1"/>
  <c r="P108" i="10" a="1"/>
  <c r="P108" i="10" s="1"/>
  <c r="P107" i="10" a="1"/>
  <c r="P107" i="10" s="1"/>
  <c r="P106" i="10" a="1"/>
  <c r="P106" i="10" s="1"/>
  <c r="P105" i="10" a="1"/>
  <c r="P105" i="10" s="1"/>
  <c r="P104" i="10" a="1"/>
  <c r="P104" i="10" s="1"/>
  <c r="P103" i="10" a="1"/>
  <c r="P103" i="10" s="1"/>
  <c r="P102" i="10" a="1"/>
  <c r="P102" i="10" s="1"/>
  <c r="P101" i="10" a="1"/>
  <c r="P101" i="10" s="1"/>
  <c r="P100" i="10" a="1"/>
  <c r="P100" i="10" s="1"/>
  <c r="P99" i="10" a="1"/>
  <c r="P99" i="10" s="1"/>
  <c r="P98" i="10" a="1"/>
  <c r="P98" i="10" s="1"/>
  <c r="P97" i="10" a="1"/>
  <c r="P97" i="10" s="1"/>
  <c r="P96" i="10" a="1"/>
  <c r="P96" i="10" s="1"/>
  <c r="P95" i="10" a="1"/>
  <c r="P95" i="10" s="1"/>
  <c r="P94" i="10" a="1"/>
  <c r="P94" i="10" s="1"/>
  <c r="P93" i="10" a="1"/>
  <c r="P93" i="10" s="1"/>
  <c r="P92" i="10" a="1"/>
  <c r="P92" i="10" s="1"/>
  <c r="P91" i="10" a="1"/>
  <c r="P91" i="10" s="1"/>
  <c r="P90" i="10" a="1"/>
  <c r="P90" i="10" s="1"/>
  <c r="P89" i="10" a="1"/>
  <c r="P89" i="10" s="1"/>
  <c r="P88" i="10" a="1"/>
  <c r="P88" i="10" s="1"/>
  <c r="P87" i="10" a="1"/>
  <c r="P87" i="10" s="1"/>
  <c r="P86" i="10" a="1"/>
  <c r="P86" i="10" s="1"/>
  <c r="P85" i="10" a="1"/>
  <c r="P85" i="10" s="1"/>
  <c r="P84" i="10" a="1"/>
  <c r="P84" i="10" s="1"/>
  <c r="P83" i="10" a="1"/>
  <c r="P83" i="10" s="1"/>
  <c r="P82" i="10" a="1"/>
  <c r="P82" i="10" s="1"/>
  <c r="P81" i="10" a="1"/>
  <c r="P81" i="10" s="1"/>
  <c r="P80" i="10" a="1"/>
  <c r="P80" i="10" s="1"/>
  <c r="P79" i="10" a="1"/>
  <c r="P79" i="10" s="1"/>
  <c r="P78" i="10" a="1"/>
  <c r="P78" i="10" s="1"/>
  <c r="P77" i="10" a="1"/>
  <c r="P77" i="10" s="1"/>
  <c r="P76" i="10" a="1"/>
  <c r="P76" i="10" s="1"/>
  <c r="P75" i="10" a="1"/>
  <c r="P75" i="10" s="1"/>
  <c r="P74" i="10" a="1"/>
  <c r="P74" i="10" s="1"/>
  <c r="P73" i="10" a="1"/>
  <c r="P73" i="10" s="1"/>
  <c r="P72" i="10" a="1"/>
  <c r="P72" i="10" s="1"/>
  <c r="P71" i="10" a="1"/>
  <c r="P71" i="10" s="1"/>
  <c r="P70" i="10" a="1"/>
  <c r="P70" i="10" s="1"/>
  <c r="P69" i="10" a="1"/>
  <c r="P69" i="10" s="1"/>
  <c r="P68" i="10" a="1"/>
  <c r="P68" i="10" s="1"/>
  <c r="P67" i="10" a="1"/>
  <c r="P67" i="10" s="1"/>
  <c r="P66" i="10" a="1"/>
  <c r="P66" i="10" s="1"/>
  <c r="P65" i="10" a="1"/>
  <c r="P65" i="10" s="1"/>
  <c r="P64" i="10" a="1"/>
  <c r="P64" i="10" s="1"/>
  <c r="P63" i="10" a="1"/>
  <c r="P63" i="10" s="1"/>
  <c r="P62" i="10" a="1"/>
  <c r="P62" i="10" s="1"/>
  <c r="P61" i="10" a="1"/>
  <c r="P61" i="10" s="1"/>
  <c r="P60" i="10" a="1"/>
  <c r="P60" i="10" s="1"/>
  <c r="P59" i="10" a="1"/>
  <c r="P59" i="10" s="1"/>
  <c r="P58" i="10" a="1"/>
  <c r="P58" i="10" s="1"/>
  <c r="P57" i="10" a="1"/>
  <c r="P57" i="10" s="1"/>
  <c r="P56" i="10" a="1"/>
  <c r="P56" i="10" s="1"/>
  <c r="P55" i="10" a="1"/>
  <c r="P55" i="10" s="1"/>
  <c r="P54" i="10" a="1"/>
  <c r="P54" i="10" s="1"/>
  <c r="P53" i="10" a="1"/>
  <c r="P53" i="10" s="1"/>
  <c r="P52" i="10" a="1"/>
  <c r="P52" i="10" s="1"/>
  <c r="P51" i="10" a="1"/>
  <c r="P51" i="10" s="1"/>
  <c r="P50" i="10" a="1"/>
  <c r="P50" i="10" s="1"/>
  <c r="P49" i="10" a="1"/>
  <c r="P49" i="10" s="1"/>
  <c r="P48" i="10" a="1"/>
  <c r="P48" i="10" s="1"/>
  <c r="P47" i="10" a="1"/>
  <c r="P47" i="10" s="1"/>
  <c r="P46" i="10" a="1"/>
  <c r="P46" i="10" s="1"/>
  <c r="P45" i="10" a="1"/>
  <c r="P45" i="10" s="1"/>
  <c r="P44" i="10" a="1"/>
  <c r="P44" i="10" s="1"/>
  <c r="P43" i="10" a="1"/>
  <c r="P43" i="10" s="1"/>
  <c r="P42" i="10" a="1"/>
  <c r="P42" i="10" s="1"/>
  <c r="P41" i="10" a="1"/>
  <c r="P41" i="10" s="1"/>
  <c r="P40" i="10" a="1"/>
  <c r="P40" i="10" s="1"/>
  <c r="P39" i="10" a="1"/>
  <c r="P39" i="10" s="1"/>
  <c r="P38" i="10" a="1"/>
  <c r="P38" i="10" s="1"/>
  <c r="P37" i="10" a="1"/>
  <c r="P37" i="10" s="1"/>
  <c r="P36" i="10" a="1"/>
  <c r="P36" i="10" s="1"/>
  <c r="P35" i="10" a="1"/>
  <c r="P35" i="10" s="1"/>
  <c r="P34" i="10" a="1"/>
  <c r="P34" i="10" s="1"/>
  <c r="P33" i="10" a="1"/>
  <c r="P33" i="10" s="1"/>
  <c r="P32" i="10" a="1"/>
  <c r="P32" i="10" s="1"/>
  <c r="P31" i="10" a="1"/>
  <c r="P31" i="10" s="1"/>
  <c r="P30" i="10" a="1"/>
  <c r="P30" i="10" s="1"/>
  <c r="P29" i="10" a="1"/>
  <c r="P29" i="10" s="1"/>
  <c r="P28" i="10" a="1"/>
  <c r="P28" i="10" s="1"/>
  <c r="P27" i="10" a="1"/>
  <c r="P27" i="10" s="1"/>
  <c r="P26" i="10" a="1"/>
  <c r="P26" i="10" s="1"/>
  <c r="P3" i="10" a="1"/>
  <c r="P3" i="10" s="1"/>
  <c r="P4" i="10" a="1"/>
  <c r="P4" i="10" s="1"/>
  <c r="P5" i="10" a="1"/>
  <c r="P5" i="10" s="1"/>
  <c r="P6" i="10" a="1"/>
  <c r="P6" i="10" s="1"/>
  <c r="P7" i="10" a="1"/>
  <c r="P7" i="10" s="1"/>
  <c r="P8" i="10" a="1"/>
  <c r="P8" i="10" s="1"/>
  <c r="P9" i="10" a="1"/>
  <c r="P9" i="10" s="1"/>
  <c r="P10" i="10" a="1"/>
  <c r="P10" i="10" s="1"/>
  <c r="P11" i="10" a="1"/>
  <c r="P11" i="10" s="1"/>
  <c r="P12" i="10" a="1"/>
  <c r="P12" i="10" s="1"/>
  <c r="P13" i="10" a="1"/>
  <c r="P13" i="10" s="1"/>
  <c r="P14" i="10" a="1"/>
  <c r="P14" i="10" s="1"/>
  <c r="P15" i="10" a="1"/>
  <c r="P15" i="10" s="1"/>
  <c r="P16" i="10" a="1"/>
  <c r="P16" i="10" s="1"/>
  <c r="P17" i="10" a="1"/>
  <c r="P17" i="10" s="1"/>
  <c r="P18" i="10" a="1"/>
  <c r="P18" i="10" s="1"/>
  <c r="P19" i="10" a="1"/>
  <c r="P19" i="10" s="1"/>
  <c r="P20" i="10" a="1"/>
  <c r="P20" i="10" s="1"/>
  <c r="P21" i="10" a="1"/>
  <c r="P21" i="10" s="1"/>
  <c r="P22" i="10" a="1"/>
  <c r="P22" i="10" s="1"/>
  <c r="P23" i="10" a="1"/>
  <c r="P23" i="10" s="1"/>
  <c r="P24" i="10" a="1"/>
  <c r="P24" i="10" s="1"/>
  <c r="P25" i="10" a="1"/>
  <c r="P25" i="10" s="1"/>
  <c r="P2" i="10" a="1"/>
  <c r="P2" i="10" s="1"/>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5" i="10"/>
  <c r="O36" i="10"/>
  <c r="O39" i="10"/>
  <c r="O40" i="10"/>
  <c r="O43" i="10"/>
  <c r="O44" i="10"/>
  <c r="O45" i="10"/>
  <c r="O47" i="10"/>
  <c r="O48" i="10"/>
  <c r="O51" i="10"/>
  <c r="O52"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7" i="10"/>
  <c r="O88" i="10"/>
  <c r="O91" i="10"/>
  <c r="O92" i="10"/>
  <c r="O93" i="10"/>
  <c r="O94" i="10"/>
  <c r="O95" i="10"/>
  <c r="O96" i="10"/>
  <c r="O97" i="10"/>
  <c r="O98" i="10"/>
  <c r="O99" i="10"/>
  <c r="O100" i="10"/>
  <c r="O103" i="10"/>
  <c r="O104" i="10"/>
  <c r="O107" i="10"/>
  <c r="O108"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1" i="10"/>
  <c r="O152" i="10"/>
  <c r="O155" i="10"/>
  <c r="O156" i="10"/>
  <c r="O157" i="10"/>
  <c r="O158" i="10"/>
  <c r="O159" i="10"/>
  <c r="O160" i="10"/>
  <c r="O163" i="10"/>
  <c r="O164" i="10"/>
  <c r="O167" i="10"/>
  <c r="O168" i="10"/>
  <c r="O171" i="10"/>
  <c r="O172" i="10"/>
  <c r="O173" i="10"/>
  <c r="O174" i="10"/>
  <c r="O175" i="10"/>
  <c r="O176" i="10"/>
  <c r="O177" i="10"/>
  <c r="O178" i="10"/>
  <c r="O179" i="10"/>
  <c r="O180" i="10"/>
  <c r="O181" i="10"/>
  <c r="O182" i="10"/>
  <c r="O183" i="10"/>
  <c r="O184" i="10"/>
  <c r="O185" i="10"/>
  <c r="O186" i="10"/>
  <c r="O187" i="10"/>
  <c r="O188" i="10"/>
  <c r="O189" i="10"/>
  <c r="O190" i="10"/>
  <c r="O191" i="10"/>
  <c r="O192"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219" i="10"/>
  <c r="O220" i="10"/>
  <c r="O221" i="10"/>
  <c r="O222" i="10"/>
  <c r="O223" i="10"/>
  <c r="O224" i="10"/>
  <c r="O225" i="10"/>
  <c r="O226" i="10"/>
  <c r="O227" i="10"/>
  <c r="O228" i="10"/>
  <c r="O229" i="10"/>
  <c r="O230" i="10"/>
  <c r="O231" i="10"/>
  <c r="O232" i="10"/>
  <c r="O235" i="10"/>
  <c r="O236" i="10"/>
  <c r="O239" i="10"/>
  <c r="O240" i="10"/>
  <c r="O242" i="10"/>
  <c r="O243" i="10"/>
  <c r="O244" i="10"/>
  <c r="O245" i="10"/>
  <c r="O246" i="10"/>
  <c r="O247" i="10"/>
  <c r="O248" i="10"/>
  <c r="O251" i="10"/>
  <c r="O252" i="10"/>
  <c r="O254" i="10"/>
  <c r="O255" i="10"/>
  <c r="O256" i="10"/>
  <c r="O257" i="10"/>
  <c r="O258" i="10"/>
  <c r="O259" i="10"/>
  <c r="O260" i="10"/>
  <c r="O263" i="10"/>
  <c r="O264" i="10"/>
  <c r="O267" i="10"/>
  <c r="O268" i="10"/>
  <c r="O269" i="10"/>
  <c r="O270" i="10"/>
  <c r="O271" i="10"/>
  <c r="O272" i="10"/>
  <c r="O273" i="10"/>
  <c r="O274" i="10"/>
  <c r="O275" i="10"/>
  <c r="O276" i="10"/>
  <c r="O279" i="10"/>
  <c r="O280" i="10"/>
  <c r="O281" i="10"/>
  <c r="O282" i="10"/>
  <c r="O283" i="10"/>
  <c r="O284" i="10"/>
  <c r="O285" i="10"/>
  <c r="O286" i="10"/>
  <c r="O287" i="10"/>
  <c r="O288" i="10"/>
  <c r="O291" i="10"/>
  <c r="O292" i="10"/>
  <c r="O295" i="10"/>
  <c r="O296" i="10"/>
  <c r="O299" i="10"/>
  <c r="O300" i="10"/>
  <c r="O301" i="10"/>
  <c r="O303" i="10"/>
  <c r="O304" i="10"/>
  <c r="O305" i="10"/>
  <c r="O306" i="10"/>
  <c r="O307" i="10"/>
  <c r="O308" i="10"/>
  <c r="O309" i="10"/>
  <c r="O311" i="10"/>
  <c r="O312" i="10"/>
  <c r="O315" i="10"/>
  <c r="O316" i="10"/>
  <c r="O317" i="10"/>
  <c r="O318" i="10"/>
  <c r="O319" i="10"/>
  <c r="O320" i="10"/>
  <c r="O321" i="10"/>
  <c r="O322" i="10"/>
  <c r="O323" i="10"/>
  <c r="O324" i="10"/>
  <c r="O325" i="10"/>
  <c r="O326" i="10"/>
  <c r="O327" i="10"/>
  <c r="O328" i="10"/>
  <c r="O329" i="10"/>
  <c r="O330" i="10"/>
  <c r="O331" i="10"/>
  <c r="O332" i="10"/>
  <c r="O333" i="10"/>
  <c r="O334" i="10"/>
  <c r="O335" i="10"/>
  <c r="O336" i="10"/>
  <c r="O337" i="10"/>
  <c r="O338" i="10"/>
  <c r="O339" i="10"/>
  <c r="O340" i="10"/>
  <c r="O341" i="10"/>
  <c r="O342" i="10"/>
  <c r="O343" i="10"/>
  <c r="O344" i="10"/>
  <c r="O345" i="10"/>
  <c r="O346" i="10"/>
  <c r="O347" i="10"/>
  <c r="O348" i="10"/>
  <c r="O349" i="10"/>
  <c r="O350" i="10"/>
  <c r="O351" i="10"/>
  <c r="O352" i="10"/>
  <c r="O353" i="10"/>
  <c r="O354" i="10"/>
  <c r="O355" i="10"/>
  <c r="O356" i="10"/>
  <c r="O357" i="10"/>
  <c r="O359" i="10"/>
  <c r="O360" i="10"/>
  <c r="O362" i="10"/>
  <c r="O363" i="10"/>
  <c r="O364" i="10"/>
  <c r="O365" i="10"/>
  <c r="O366" i="10"/>
  <c r="O367" i="10"/>
  <c r="O368" i="10"/>
  <c r="O371" i="10"/>
  <c r="O372" i="10"/>
  <c r="O374" i="10"/>
  <c r="O375" i="10"/>
  <c r="O376" i="10"/>
  <c r="O377" i="10"/>
  <c r="O378" i="10"/>
  <c r="O379" i="10"/>
  <c r="O380" i="10"/>
  <c r="O381" i="10"/>
  <c r="O382" i="10"/>
  <c r="O383" i="10"/>
  <c r="O384" i="10"/>
  <c r="O387" i="10"/>
  <c r="O388" i="10"/>
  <c r="O389" i="10"/>
  <c r="O390" i="10"/>
  <c r="O391" i="10"/>
  <c r="O392" i="10"/>
  <c r="O393" i="10"/>
  <c r="O394" i="10"/>
  <c r="O395" i="10"/>
  <c r="O396" i="10"/>
  <c r="O397" i="10"/>
  <c r="O398" i="10"/>
  <c r="O399" i="10"/>
  <c r="O400" i="10"/>
  <c r="O401" i="10"/>
  <c r="O402" i="10"/>
  <c r="O403" i="10"/>
  <c r="O404" i="10"/>
  <c r="O405" i="10"/>
  <c r="O406" i="10"/>
  <c r="O407" i="10"/>
  <c r="O408" i="10"/>
  <c r="O409" i="10"/>
  <c r="O410" i="10"/>
  <c r="O411" i="10"/>
  <c r="O412" i="10"/>
  <c r="O413" i="10"/>
  <c r="O414" i="10"/>
  <c r="O415" i="10"/>
  <c r="O416" i="10"/>
  <c r="O417" i="10"/>
  <c r="O418" i="10"/>
  <c r="O419" i="10"/>
  <c r="O420" i="10"/>
  <c r="O421" i="10"/>
  <c r="O423" i="10"/>
  <c r="O424" i="10"/>
  <c r="O427" i="10"/>
  <c r="O428" i="10"/>
  <c r="O429" i="10"/>
  <c r="O430" i="10"/>
  <c r="O431" i="10"/>
  <c r="O432" i="10"/>
  <c r="O433" i="10"/>
  <c r="O434" i="10"/>
  <c r="O435" i="10"/>
  <c r="O436" i="10"/>
  <c r="O439" i="10"/>
  <c r="O440" i="10"/>
  <c r="O443" i="10"/>
  <c r="O444" i="10"/>
  <c r="O445" i="10"/>
  <c r="O446" i="10"/>
  <c r="O447" i="10"/>
  <c r="O448" i="10"/>
  <c r="O449" i="10"/>
  <c r="O450" i="10"/>
  <c r="O451" i="10"/>
  <c r="O452" i="10"/>
  <c r="O453" i="10"/>
  <c r="O454" i="10"/>
  <c r="O455" i="10"/>
  <c r="O456" i="10"/>
  <c r="O457" i="10"/>
  <c r="O458" i="10"/>
  <c r="O459" i="10"/>
  <c r="O460" i="10"/>
  <c r="O461" i="10"/>
  <c r="O462" i="10"/>
  <c r="O463" i="10"/>
  <c r="O464" i="10"/>
  <c r="O465" i="10"/>
  <c r="O466" i="10"/>
  <c r="O467" i="10"/>
  <c r="O468" i="10"/>
  <c r="O469" i="10"/>
  <c r="O470" i="10"/>
  <c r="O471" i="10"/>
  <c r="O472" i="10"/>
  <c r="O475" i="10"/>
  <c r="O476" i="10"/>
  <c r="O479" i="10"/>
  <c r="O480" i="10"/>
  <c r="O481" i="10"/>
  <c r="O482" i="10"/>
  <c r="O483" i="10"/>
  <c r="O484" i="10"/>
  <c r="O485" i="10"/>
  <c r="O486" i="10"/>
  <c r="O487" i="10"/>
  <c r="O488" i="10"/>
  <c r="O489" i="10"/>
  <c r="O490" i="10"/>
  <c r="O491" i="10"/>
  <c r="O492" i="10"/>
  <c r="O493" i="10"/>
  <c r="O494" i="10"/>
  <c r="O495" i="10"/>
  <c r="O496" i="10"/>
  <c r="O499" i="10"/>
  <c r="O500" i="10"/>
  <c r="O503" i="10"/>
  <c r="O504" i="10"/>
  <c r="O505" i="10"/>
  <c r="O2" i="10"/>
  <c r="Q2" i="10"/>
  <c r="Q142" i="10"/>
  <c r="A32" i="5"/>
  <c r="D32" i="5"/>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5" i="10"/>
  <c r="Q96" i="10"/>
  <c r="Q97" i="10"/>
  <c r="Q98" i="10"/>
  <c r="Q99" i="10"/>
  <c r="Q100" i="10"/>
  <c r="Q101" i="10"/>
  <c r="Q102" i="10"/>
  <c r="Q103" i="10"/>
  <c r="Q104" i="10"/>
  <c r="Q105" i="10"/>
  <c r="Q106" i="10"/>
  <c r="Q107" i="10"/>
  <c r="Q108"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3" i="10"/>
  <c r="Q144" i="10"/>
  <c r="Q145" i="10"/>
  <c r="Q146" i="10"/>
  <c r="Q147" i="10"/>
  <c r="Q148" i="10"/>
  <c r="Q149" i="10"/>
  <c r="Q150" i="10"/>
  <c r="Q151" i="10"/>
  <c r="Q152" i="10"/>
  <c r="Q153" i="10"/>
  <c r="Q154" i="10"/>
  <c r="Q155" i="10"/>
  <c r="Q156" i="10"/>
  <c r="Q157" i="10"/>
  <c r="Q158" i="10"/>
  <c r="Q159" i="10"/>
  <c r="Q160" i="10"/>
  <c r="Q161" i="10"/>
  <c r="Q162" i="10"/>
  <c r="Q163" i="10"/>
  <c r="Q164" i="10"/>
  <c r="Q165" i="10"/>
  <c r="Q166" i="10"/>
  <c r="Q167" i="10"/>
  <c r="Q168" i="10"/>
  <c r="Q169" i="10"/>
  <c r="Q170" i="10"/>
  <c r="Q171" i="10"/>
  <c r="Q172" i="10"/>
  <c r="Q173" i="10"/>
  <c r="Q174" i="10"/>
  <c r="Q175" i="10"/>
  <c r="Q176" i="10"/>
  <c r="Q177" i="10"/>
  <c r="Q178" i="10"/>
  <c r="Q179" i="10"/>
  <c r="Q180" i="10"/>
  <c r="Q181" i="10"/>
  <c r="Q182" i="10"/>
  <c r="Q183" i="10"/>
  <c r="Q184" i="10"/>
  <c r="Q185" i="10"/>
  <c r="Q186" i="10"/>
  <c r="Q187" i="10"/>
  <c r="Q188" i="10"/>
  <c r="Q189" i="10"/>
  <c r="Q190" i="10"/>
  <c r="Q191" i="10"/>
  <c r="Q192" i="10"/>
  <c r="Q193" i="10"/>
  <c r="Q194" i="10"/>
  <c r="Q195" i="10"/>
  <c r="Q196" i="10"/>
  <c r="Q197" i="10"/>
  <c r="Q198" i="10"/>
  <c r="Q199" i="10"/>
  <c r="Q200" i="10"/>
  <c r="Q201" i="10"/>
  <c r="Q202" i="10"/>
  <c r="Q203" i="10"/>
  <c r="Q204" i="10"/>
  <c r="Q205" i="10"/>
  <c r="Q206" i="10"/>
  <c r="Q207" i="10"/>
  <c r="Q208" i="10"/>
  <c r="Q210" i="10"/>
  <c r="Q211" i="10"/>
  <c r="Q212" i="10"/>
  <c r="Q213" i="10"/>
  <c r="Q214" i="10"/>
  <c r="Q215" i="10"/>
  <c r="Q216" i="10"/>
  <c r="Q217" i="10"/>
  <c r="Q218" i="10"/>
  <c r="Q219" i="10"/>
  <c r="Q220" i="10"/>
  <c r="Q221" i="10"/>
  <c r="Q222" i="10"/>
  <c r="Q223" i="10"/>
  <c r="Q224" i="10"/>
  <c r="Q225" i="10"/>
  <c r="Q226" i="10"/>
  <c r="Q227" i="10"/>
  <c r="Q228" i="10"/>
  <c r="Q229" i="10"/>
  <c r="Q230" i="10"/>
  <c r="Q231" i="10"/>
  <c r="Q232" i="10"/>
  <c r="Q233" i="10"/>
  <c r="Q234" i="10"/>
  <c r="Q235" i="10"/>
  <c r="Q236" i="10"/>
  <c r="Q237" i="10"/>
  <c r="Q238" i="10"/>
  <c r="Q239" i="10"/>
  <c r="Q240" i="10"/>
  <c r="Q241" i="10"/>
  <c r="Q242" i="10"/>
  <c r="Q243" i="10"/>
  <c r="Q244" i="10"/>
  <c r="Q245" i="10"/>
  <c r="Q246" i="10"/>
  <c r="Q247" i="10"/>
  <c r="Q248" i="10"/>
  <c r="Q249" i="10"/>
  <c r="Q250" i="10"/>
  <c r="Q251" i="10"/>
  <c r="Q252" i="10"/>
  <c r="Q253" i="10"/>
  <c r="Q254" i="10"/>
  <c r="Q255" i="10"/>
  <c r="Q256" i="10"/>
  <c r="Q257" i="10"/>
  <c r="Q258" i="10"/>
  <c r="Q259" i="10"/>
  <c r="Q260" i="10"/>
  <c r="Q261" i="10"/>
  <c r="Q262" i="10"/>
  <c r="Q263" i="10"/>
  <c r="Q264" i="10"/>
  <c r="Q265" i="10"/>
  <c r="Q266" i="10"/>
  <c r="Q267" i="10"/>
  <c r="Q268" i="10"/>
  <c r="Q269" i="10"/>
  <c r="Q270" i="10"/>
  <c r="Q271" i="10"/>
  <c r="Q272" i="10"/>
  <c r="Q273" i="10"/>
  <c r="Q274" i="10"/>
  <c r="Q275" i="10"/>
  <c r="Q276" i="10"/>
  <c r="Q277" i="10"/>
  <c r="Q278" i="10"/>
  <c r="Q279" i="10"/>
  <c r="Q280" i="10"/>
  <c r="Q281" i="10"/>
  <c r="Q282" i="10"/>
  <c r="Q283" i="10"/>
  <c r="Q284" i="10"/>
  <c r="Q285" i="10"/>
  <c r="Q286" i="10"/>
  <c r="Q287" i="10"/>
  <c r="Q288" i="10"/>
  <c r="Q289" i="10"/>
  <c r="Q290" i="10"/>
  <c r="Q291" i="10"/>
  <c r="Q292" i="10"/>
  <c r="Q293" i="10"/>
  <c r="Q294" i="10"/>
  <c r="Q295" i="10"/>
  <c r="Q296" i="10"/>
  <c r="Q297" i="10"/>
  <c r="Q298" i="10"/>
  <c r="Q299" i="10"/>
  <c r="Q300" i="10"/>
  <c r="Q301" i="10"/>
  <c r="Q302" i="10"/>
  <c r="Q303" i="10"/>
  <c r="Q304" i="10"/>
  <c r="Q305" i="10"/>
  <c r="Q306" i="10"/>
  <c r="Q307" i="10"/>
  <c r="Q308" i="10"/>
  <c r="Q309" i="10"/>
  <c r="Q310" i="10"/>
  <c r="Q311" i="10"/>
  <c r="Q312" i="10"/>
  <c r="Q313" i="10"/>
  <c r="Q314" i="10"/>
  <c r="Q315" i="10"/>
  <c r="Q316" i="10"/>
  <c r="Q317" i="10"/>
  <c r="Q318" i="10"/>
  <c r="Q319" i="10"/>
  <c r="Q320" i="10"/>
  <c r="Q321" i="10"/>
  <c r="Q322" i="10"/>
  <c r="Q323" i="10"/>
  <c r="Q324" i="10"/>
  <c r="Q325" i="10"/>
  <c r="Q326" i="10"/>
  <c r="Q327" i="10"/>
  <c r="Q328" i="10"/>
  <c r="Q329" i="10"/>
  <c r="Q330" i="10"/>
  <c r="Q331" i="10"/>
  <c r="Q332" i="10"/>
  <c r="Q333" i="10"/>
  <c r="Q334" i="10"/>
  <c r="Q335" i="10"/>
  <c r="Q336" i="10"/>
  <c r="Q337" i="10"/>
  <c r="Q338" i="10"/>
  <c r="Q339" i="10"/>
  <c r="Q340" i="10"/>
  <c r="Q341" i="10"/>
  <c r="Q342" i="10"/>
  <c r="Q343" i="10"/>
  <c r="Q344" i="10"/>
  <c r="Q345" i="10"/>
  <c r="Q346" i="10"/>
  <c r="Q347" i="10"/>
  <c r="Q348" i="10"/>
  <c r="Q349" i="10"/>
  <c r="Q350" i="10"/>
  <c r="Q351" i="10"/>
  <c r="Q352" i="10"/>
  <c r="Q353" i="10"/>
  <c r="Q354" i="10"/>
  <c r="Q355" i="10"/>
  <c r="Q356" i="10"/>
  <c r="Q357" i="10"/>
  <c r="Q358" i="10"/>
  <c r="Q359" i="10"/>
  <c r="Q360" i="10"/>
  <c r="Q361" i="10"/>
  <c r="Q362" i="10"/>
  <c r="Q363" i="10"/>
  <c r="Q364" i="10"/>
  <c r="Q365" i="10"/>
  <c r="Q366" i="10"/>
  <c r="Q367" i="10"/>
  <c r="Q368" i="10"/>
  <c r="Q369" i="10"/>
  <c r="Q370" i="10"/>
  <c r="Q371" i="10"/>
  <c r="Q372" i="10"/>
  <c r="Q373" i="10"/>
  <c r="Q374" i="10"/>
  <c r="Q375" i="10"/>
  <c r="Q376" i="10"/>
  <c r="Q377" i="10"/>
  <c r="Q378" i="10"/>
  <c r="Q379" i="10"/>
  <c r="Q380" i="10"/>
  <c r="Q381" i="10"/>
  <c r="Q382" i="10"/>
  <c r="Q383" i="10"/>
  <c r="Q384" i="10"/>
  <c r="Q385" i="10"/>
  <c r="Q386" i="10"/>
  <c r="Q387" i="10"/>
  <c r="Q388" i="10"/>
  <c r="Q389" i="10"/>
  <c r="Q390" i="10"/>
  <c r="Q391" i="10"/>
  <c r="Q392" i="10"/>
  <c r="Q393" i="10"/>
  <c r="Q394" i="10"/>
  <c r="Q395" i="10"/>
  <c r="Q396" i="10"/>
  <c r="Q397" i="10"/>
  <c r="Q398" i="10"/>
  <c r="Q399" i="10"/>
  <c r="Q400" i="10"/>
  <c r="Q401" i="10"/>
  <c r="Q402" i="10"/>
  <c r="Q403" i="10"/>
  <c r="Q404" i="10"/>
  <c r="Q405" i="10"/>
  <c r="Q406" i="10"/>
  <c r="Q407" i="10"/>
  <c r="Q408" i="10"/>
  <c r="Q409" i="10"/>
  <c r="Q410" i="10"/>
  <c r="Q411" i="10"/>
  <c r="Q412" i="10"/>
  <c r="Q413" i="10"/>
  <c r="Q414" i="10"/>
  <c r="Q415" i="10"/>
  <c r="Q416" i="10"/>
  <c r="Q417" i="10"/>
  <c r="Q418" i="10"/>
  <c r="Q419" i="10"/>
  <c r="Q420" i="10"/>
  <c r="Q421" i="10"/>
  <c r="Q422" i="10"/>
  <c r="Q423" i="10"/>
  <c r="Q424" i="10"/>
  <c r="Q425" i="10"/>
  <c r="Q426" i="10"/>
  <c r="Q427" i="10"/>
  <c r="Q428" i="10"/>
  <c r="Q429" i="10"/>
  <c r="Q430" i="10"/>
  <c r="Q431" i="10"/>
  <c r="Q432" i="10"/>
  <c r="Q433" i="10"/>
  <c r="Q434" i="10"/>
  <c r="Q435" i="10"/>
  <c r="Q436" i="10"/>
  <c r="Q437" i="10"/>
  <c r="Q438" i="10"/>
  <c r="Q439" i="10"/>
  <c r="Q440" i="10"/>
  <c r="Q441" i="10"/>
  <c r="Q442" i="10"/>
  <c r="Q443" i="10"/>
  <c r="Q444" i="10"/>
  <c r="Q445" i="10"/>
  <c r="Q446" i="10"/>
  <c r="Q447" i="10"/>
  <c r="Q448" i="10"/>
  <c r="Q449" i="10"/>
  <c r="Q450" i="10"/>
  <c r="Q451" i="10"/>
  <c r="Q452" i="10"/>
  <c r="Q453" i="10"/>
  <c r="Q454" i="10"/>
  <c r="Q455" i="10"/>
  <c r="Q456" i="10"/>
  <c r="Q457" i="10"/>
  <c r="Q458" i="10"/>
  <c r="Q459" i="10"/>
  <c r="Q460" i="10"/>
  <c r="Q461" i="10"/>
  <c r="Q462" i="10"/>
  <c r="Q463" i="10"/>
  <c r="Q464" i="10"/>
  <c r="Q465" i="10"/>
  <c r="Q466" i="10"/>
  <c r="Q467" i="10"/>
  <c r="Q468" i="10"/>
  <c r="Q469" i="10"/>
  <c r="Q470" i="10"/>
  <c r="Q471" i="10"/>
  <c r="Q472" i="10"/>
  <c r="Q473" i="10"/>
  <c r="Q474" i="10"/>
  <c r="Q475" i="10"/>
  <c r="Q476" i="10"/>
  <c r="Q477" i="10"/>
  <c r="Q478" i="10"/>
  <c r="Q479" i="10"/>
  <c r="Q480" i="10"/>
  <c r="Q481" i="10"/>
  <c r="Q482" i="10"/>
  <c r="Q483" i="10"/>
  <c r="Q484" i="10"/>
  <c r="Q485" i="10"/>
  <c r="Q486" i="10"/>
  <c r="Q487" i="10"/>
  <c r="Q488" i="10"/>
  <c r="Q489" i="10"/>
  <c r="Q490" i="10"/>
  <c r="Q491" i="10"/>
  <c r="Q492" i="10"/>
  <c r="Q493" i="10"/>
  <c r="Q494" i="10"/>
  <c r="Q495" i="10"/>
  <c r="Q496" i="10"/>
  <c r="Q497" i="10"/>
  <c r="Q498" i="10"/>
  <c r="Q499" i="10"/>
  <c r="Q500" i="10"/>
  <c r="Q501" i="10"/>
  <c r="Q502" i="10"/>
  <c r="Q503" i="10"/>
  <c r="Q504" i="10"/>
  <c r="Q505" i="10"/>
  <c r="Q506" i="10"/>
  <c r="Q3" i="10"/>
  <c r="Q4" i="10"/>
  <c r="Q5" i="10"/>
  <c r="Q6" i="10"/>
  <c r="A22" i="5"/>
  <c r="D22" i="5"/>
  <c r="A43" i="5"/>
  <c r="D43" i="5"/>
  <c r="A42" i="5"/>
  <c r="D42" i="5"/>
  <c r="A84" i="5"/>
  <c r="D84" i="5"/>
  <c r="A83" i="5"/>
  <c r="D83" i="5"/>
  <c r="A82" i="5"/>
  <c r="D82" i="5"/>
  <c r="A81" i="5"/>
  <c r="D81" i="5"/>
  <c r="A80" i="5"/>
  <c r="D80" i="5"/>
  <c r="A79" i="5"/>
  <c r="D79" i="5"/>
  <c r="A78" i="5"/>
  <c r="D78" i="5"/>
  <c r="A77" i="5"/>
  <c r="D77" i="5"/>
  <c r="A76" i="5"/>
  <c r="D76" i="5"/>
  <c r="A75" i="5"/>
  <c r="D75" i="5"/>
  <c r="A74" i="5"/>
  <c r="D74" i="5"/>
  <c r="A73" i="5"/>
  <c r="D73" i="5"/>
  <c r="A72" i="5"/>
  <c r="D72" i="5"/>
  <c r="A71" i="5"/>
  <c r="D71" i="5"/>
  <c r="A70" i="5"/>
  <c r="D70" i="5"/>
  <c r="A69" i="5"/>
  <c r="D69" i="5"/>
  <c r="A68" i="5"/>
  <c r="D68" i="5"/>
  <c r="A67" i="5"/>
  <c r="D67" i="5"/>
  <c r="A66" i="5"/>
  <c r="D66" i="5"/>
  <c r="A65" i="5"/>
  <c r="D65" i="5"/>
  <c r="A64" i="5"/>
  <c r="D64" i="5"/>
  <c r="A63" i="5"/>
  <c r="D63" i="5"/>
  <c r="A62" i="5"/>
  <c r="D62" i="5"/>
  <c r="A61" i="5"/>
  <c r="D61" i="5"/>
  <c r="A60" i="5"/>
  <c r="D60" i="5"/>
  <c r="A59" i="5"/>
  <c r="D59" i="5"/>
  <c r="A58" i="5"/>
  <c r="D58" i="5"/>
  <c r="A57" i="5"/>
  <c r="D57" i="5"/>
  <c r="A56" i="5"/>
  <c r="D56" i="5"/>
  <c r="A55" i="5"/>
  <c r="O38" i="10" s="1"/>
  <c r="D55" i="5"/>
  <c r="A54" i="5"/>
  <c r="D54" i="5"/>
  <c r="A53" i="5"/>
  <c r="D53" i="5"/>
  <c r="D46" i="5"/>
  <c r="D47" i="5"/>
  <c r="D48" i="5"/>
  <c r="D49" i="5"/>
  <c r="D50" i="5"/>
  <c r="D51" i="5"/>
  <c r="D52" i="5"/>
  <c r="A46" i="5"/>
  <c r="A47" i="5"/>
  <c r="A48" i="5"/>
  <c r="A49" i="5"/>
  <c r="A50" i="5"/>
  <c r="A51" i="5"/>
  <c r="A52" i="5"/>
  <c r="A45" i="5"/>
  <c r="D45" i="5"/>
  <c r="A44" i="5"/>
  <c r="D44" i="5"/>
  <c r="A41" i="5"/>
  <c r="D41" i="5"/>
  <c r="A40" i="5"/>
  <c r="D40" i="5"/>
  <c r="A39" i="5"/>
  <c r="D39" i="5"/>
  <c r="A38" i="5"/>
  <c r="D38" i="5"/>
  <c r="A37" i="5"/>
  <c r="D37" i="5"/>
  <c r="A36" i="5"/>
  <c r="D36" i="5"/>
  <c r="A35" i="5"/>
  <c r="D35" i="5"/>
  <c r="A34" i="5"/>
  <c r="D34" i="5"/>
  <c r="A33" i="5"/>
  <c r="D33" i="5"/>
  <c r="A31" i="5"/>
  <c r="D31" i="5"/>
  <c r="A30" i="5"/>
  <c r="D30" i="5"/>
  <c r="A29" i="5"/>
  <c r="D29" i="5"/>
  <c r="A28" i="5"/>
  <c r="D28" i="5"/>
  <c r="A27" i="5"/>
  <c r="D27" i="5"/>
  <c r="A26" i="5"/>
  <c r="D26" i="5"/>
  <c r="A25" i="5"/>
  <c r="D25" i="5"/>
  <c r="A24" i="5"/>
  <c r="D24" i="5"/>
  <c r="A23" i="5"/>
  <c r="D23" i="5"/>
  <c r="A14" i="5"/>
  <c r="A15" i="5"/>
  <c r="A16" i="5"/>
  <c r="A17" i="5"/>
  <c r="A18" i="5"/>
  <c r="A19" i="5"/>
  <c r="A20" i="5"/>
  <c r="A21" i="5"/>
  <c r="D14" i="5"/>
  <c r="D15" i="5"/>
  <c r="D16" i="5"/>
  <c r="D17" i="5"/>
  <c r="D18" i="5"/>
  <c r="D19" i="5"/>
  <c r="D20" i="5"/>
  <c r="D21" i="5"/>
  <c r="A13" i="5"/>
  <c r="D13" i="5"/>
  <c r="A12" i="5"/>
  <c r="D12" i="5"/>
  <c r="D3" i="5"/>
  <c r="D4" i="5"/>
  <c r="D5" i="5"/>
  <c r="D6" i="5"/>
  <c r="D7" i="5"/>
  <c r="D8" i="5"/>
  <c r="D9" i="5"/>
  <c r="D10" i="5"/>
  <c r="D11" i="5"/>
  <c r="A3" i="5"/>
  <c r="A4" i="5"/>
  <c r="A5" i="5"/>
  <c r="A6" i="5"/>
  <c r="A7" i="5"/>
  <c r="A8" i="5"/>
  <c r="A9" i="5"/>
  <c r="A10" i="5"/>
  <c r="A11" i="5"/>
  <c r="D2" i="5"/>
  <c r="A2" i="5"/>
  <c r="C3" i="8"/>
  <c r="C4" i="8"/>
  <c r="C5" i="8"/>
  <c r="C6" i="8"/>
  <c r="C7" i="8"/>
  <c r="C8" i="8"/>
  <c r="C9" i="8"/>
  <c r="C2" i="8"/>
  <c r="A36" i="1"/>
  <c r="A37" i="1"/>
  <c r="A38" i="1"/>
  <c r="A39" i="1"/>
  <c r="A40" i="1"/>
  <c r="A41" i="1"/>
  <c r="A29" i="1"/>
  <c r="A30" i="1"/>
  <c r="A31" i="1"/>
  <c r="A32" i="1"/>
  <c r="A33" i="1"/>
  <c r="A34" i="1"/>
  <c r="A35" i="1"/>
  <c r="A24" i="1"/>
  <c r="A25" i="1"/>
  <c r="A26" i="1"/>
  <c r="A27" i="1"/>
  <c r="A28" i="1"/>
  <c r="A19" i="1"/>
  <c r="A20" i="1"/>
  <c r="A21" i="1"/>
  <c r="A22" i="1"/>
  <c r="A23" i="1"/>
  <c r="A12" i="1"/>
  <c r="A13" i="1"/>
  <c r="A14" i="1"/>
  <c r="A15" i="1"/>
  <c r="A16" i="1"/>
  <c r="A17" i="1"/>
  <c r="A18" i="1"/>
  <c r="A3" i="1"/>
  <c r="A4" i="1"/>
  <c r="A5" i="1"/>
  <c r="A6" i="1"/>
  <c r="A7" i="1"/>
  <c r="A8" i="1"/>
  <c r="A9" i="1"/>
  <c r="A10" i="1"/>
  <c r="A11" i="1"/>
  <c r="A2" i="1"/>
  <c r="O501" i="10" l="1"/>
  <c r="O477" i="10"/>
  <c r="O437" i="10"/>
  <c r="O373" i="10"/>
  <c r="O293" i="10"/>
  <c r="O277" i="10"/>
  <c r="O261" i="10"/>
  <c r="O253" i="10"/>
  <c r="O237" i="10"/>
  <c r="O165" i="10"/>
  <c r="O109" i="10"/>
  <c r="O101" i="10"/>
  <c r="O85" i="10"/>
  <c r="O53" i="10"/>
  <c r="O37" i="10"/>
  <c r="O506" i="10"/>
  <c r="O498" i="10"/>
  <c r="O474" i="10"/>
  <c r="O442" i="10"/>
  <c r="O426" i="10"/>
  <c r="O386" i="10"/>
  <c r="O370" i="10"/>
  <c r="O314" i="10"/>
  <c r="O298" i="10"/>
  <c r="O290" i="10"/>
  <c r="O266" i="10"/>
  <c r="O250" i="10"/>
  <c r="O234" i="10"/>
  <c r="O194" i="10"/>
  <c r="O170" i="10"/>
  <c r="O162" i="10"/>
  <c r="O154" i="10"/>
  <c r="O106" i="10"/>
  <c r="O90" i="10"/>
  <c r="O50" i="10"/>
  <c r="O42" i="10"/>
  <c r="O34" i="10"/>
  <c r="O497" i="10"/>
  <c r="O473" i="10"/>
  <c r="O441" i="10"/>
  <c r="O425" i="10"/>
  <c r="O385" i="10"/>
  <c r="O369" i="10"/>
  <c r="O361" i="10"/>
  <c r="O313" i="10"/>
  <c r="O297" i="10"/>
  <c r="O289" i="10"/>
  <c r="O265" i="10"/>
  <c r="O249" i="10"/>
  <c r="O241" i="10"/>
  <c r="O233" i="10"/>
  <c r="O193" i="10"/>
  <c r="O169" i="10"/>
  <c r="O161" i="10"/>
  <c r="O153" i="10"/>
  <c r="O105" i="10"/>
  <c r="O89" i="10"/>
  <c r="O49" i="10"/>
  <c r="O41" i="10"/>
  <c r="O502" i="10"/>
  <c r="O478" i="10"/>
  <c r="O438" i="10"/>
  <c r="O422" i="10"/>
  <c r="O358" i="10"/>
  <c r="O310" i="10"/>
  <c r="O302" i="10"/>
  <c r="O294" i="10"/>
  <c r="O278" i="10"/>
  <c r="O262" i="10"/>
  <c r="O238" i="10"/>
  <c r="O166" i="10"/>
  <c r="O150" i="10"/>
  <c r="O110" i="10"/>
  <c r="O102" i="10"/>
  <c r="O86" i="10"/>
  <c r="O54" i="10"/>
  <c r="O46"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<sst xmlns="http://schemas.openxmlformats.org/spreadsheetml/2006/main" count="6560" uniqueCount="555">
  <si>
    <t>week</t>
  </si>
  <si>
    <t>date</t>
  </si>
  <si>
    <t>time</t>
  </si>
  <si>
    <t>location</t>
  </si>
  <si>
    <t>homeScore</t>
  </si>
  <si>
    <t>awayScore</t>
  </si>
  <si>
    <t>status</t>
  </si>
  <si>
    <t>headline</t>
  </si>
  <si>
    <t>recapTeaser</t>
  </si>
  <si>
    <t>Moorestown Upper Elementary</t>
  </si>
  <si>
    <t>ball-starz</t>
  </si>
  <si>
    <t>lmba-jam</t>
  </si>
  <si>
    <t>thrillers</t>
  </si>
  <si>
    <t>department-of-offense</t>
  </si>
  <si>
    <t>hash-slinging-slashers</t>
  </si>
  <si>
    <t>trust-the-process</t>
  </si>
  <si>
    <t>prestige-worldwide</t>
  </si>
  <si>
    <t>free-agent-team</t>
  </si>
  <si>
    <t>final</t>
  </si>
  <si>
    <t>scheduled</t>
  </si>
  <si>
    <t>postponed</t>
  </si>
  <si>
    <t>cancelled</t>
  </si>
  <si>
    <t>Ball Starz Get Revenge In Championship Rematch Behind Guy Johnson’s 23</t>
  </si>
  <si>
    <t>Opening Night delivered an instant playoff-caliber showdown as Ball Starz knocked off defending champion LMBA Jam in a rematch of last season’s title game. Reigning MVP Guy Johnson led the charge with 23 points to help Ball Starz start 2026 with an early statement win.</t>
  </si>
  <si>
    <t>Thrillers Storm Back From 10 Down Behind Adams And Ziller</t>
  </si>
  <si>
    <t>Thrillers erased a double-digit halftime deficit to steal a gritty 56-53 Opening Night win over Department of Offense. Doug Adams poured in 23 points while Brett Ziller added 12 as Thrillers closed the game with a dominant second-half rally.</t>
  </si>
  <si>
    <t>firstHalfHomeScore</t>
  </si>
  <si>
    <t>firstHalfAwayScore</t>
  </si>
  <si>
    <t>secondHalfHomeScore</t>
  </si>
  <si>
    <t>secondHalfAwayScore</t>
  </si>
  <si>
    <t>seasonName</t>
  </si>
  <si>
    <t>year</t>
  </si>
  <si>
    <t>isActive</t>
  </si>
  <si>
    <t>2026 Season</t>
  </si>
  <si>
    <t>2025 Season</t>
  </si>
  <si>
    <t>gameType</t>
  </si>
  <si>
    <t>regularSeason</t>
  </si>
  <si>
    <t>playoffs</t>
  </si>
  <si>
    <t>championship</t>
  </si>
  <si>
    <t>teamName</t>
  </si>
  <si>
    <t>primaryColor</t>
  </si>
  <si>
    <t>secondaryColor</t>
  </si>
  <si>
    <t>Ball Starz</t>
  </si>
  <si>
    <t>Hash-Slinging Slashers</t>
  </si>
  <si>
    <t>Prestige Worldwide</t>
  </si>
  <si>
    <t>LMBA Jam</t>
  </si>
  <si>
    <t>Thrillers</t>
  </si>
  <si>
    <t>Department of Offense</t>
  </si>
  <si>
    <t>Trust The Process</t>
  </si>
  <si>
    <t>Free Agent Team</t>
  </si>
  <si>
    <t>#000000</t>
  </si>
  <si>
    <t>#FFFFFF</t>
  </si>
  <si>
    <t>#7DD3FC</t>
  </si>
  <si>
    <t>#0F172A</t>
  </si>
  <si>
    <t>#2563EB</t>
  </si>
  <si>
    <t>#FACC15</t>
  </si>
  <si>
    <t>#111827</t>
  </si>
  <si>
    <t>#16A34A</t>
  </si>
  <si>
    <t>#7F1D1D</t>
  </si>
  <si>
    <t>#F8FAFC</t>
  </si>
  <si>
    <t>#EA580C</t>
  </si>
  <si>
    <t>#DC2626</t>
  </si>
  <si>
    <t>seasonId</t>
  </si>
  <si>
    <t>awardName</t>
  </si>
  <si>
    <t>playerId</t>
  </si>
  <si>
    <t>teamId</t>
  </si>
  <si>
    <t>title</t>
  </si>
  <si>
    <t>body</t>
  </si>
  <si>
    <t>seasonTeamId</t>
  </si>
  <si>
    <t>displayName</t>
  </si>
  <si>
    <t>captainPlayerId</t>
  </si>
  <si>
    <t>manualStandingRank</t>
  </si>
  <si>
    <t>rank</t>
  </si>
  <si>
    <t>firstName</t>
  </si>
  <si>
    <t>lastName</t>
  </si>
  <si>
    <t>Ryan</t>
  </si>
  <si>
    <t>Fontanazza</t>
  </si>
  <si>
    <t>Ricciardelli</t>
  </si>
  <si>
    <t>Sean</t>
  </si>
  <si>
    <t>Denson</t>
  </si>
  <si>
    <t>Guy</t>
  </si>
  <si>
    <t>Johnson</t>
  </si>
  <si>
    <t>Maloney</t>
  </si>
  <si>
    <t>Chapman</t>
  </si>
  <si>
    <t>Dom</t>
  </si>
  <si>
    <t>Sepko</t>
  </si>
  <si>
    <t>Matt</t>
  </si>
  <si>
    <t>Morini</t>
  </si>
  <si>
    <t>Clayton</t>
  </si>
  <si>
    <t>Kunzweiler</t>
  </si>
  <si>
    <t>MJ</t>
  </si>
  <si>
    <t>Pierre</t>
  </si>
  <si>
    <t>Chris</t>
  </si>
  <si>
    <t>Clemente</t>
  </si>
  <si>
    <t>Mike</t>
  </si>
  <si>
    <t>Dave</t>
  </si>
  <si>
    <t>Scott</t>
  </si>
  <si>
    <t>Anthony</t>
  </si>
  <si>
    <t>Angel</t>
  </si>
  <si>
    <t>Gates</t>
  </si>
  <si>
    <t>Patrick</t>
  </si>
  <si>
    <t>Brendan</t>
  </si>
  <si>
    <t>Meyler</t>
  </si>
  <si>
    <t>Dylan</t>
  </si>
  <si>
    <t>Bellino</t>
  </si>
  <si>
    <t>Brooks</t>
  </si>
  <si>
    <t>Carrion</t>
  </si>
  <si>
    <t>Shelepets</t>
  </si>
  <si>
    <t>Brusseler</t>
  </si>
  <si>
    <t>Homsher</t>
  </si>
  <si>
    <t>Ziller</t>
  </si>
  <si>
    <t>Kyle</t>
  </si>
  <si>
    <t>Jeff</t>
  </si>
  <si>
    <t>Zach</t>
  </si>
  <si>
    <t>Derin</t>
  </si>
  <si>
    <t>Hakim</t>
  </si>
  <si>
    <t>Kevin</t>
  </si>
  <si>
    <t>Brian</t>
  </si>
  <si>
    <t>Jordan</t>
  </si>
  <si>
    <t>Donald</t>
  </si>
  <si>
    <t>Ginter</t>
  </si>
  <si>
    <t>Savage</t>
  </si>
  <si>
    <t>Rollman</t>
  </si>
  <si>
    <t>Sweeney</t>
  </si>
  <si>
    <t>Jackson</t>
  </si>
  <si>
    <t>Tierney</t>
  </si>
  <si>
    <t>Clemens</t>
  </si>
  <si>
    <t>Wilcox</t>
  </si>
  <si>
    <t>Owens</t>
  </si>
  <si>
    <t>Eli</t>
  </si>
  <si>
    <t>Deven</t>
  </si>
  <si>
    <t>Niko</t>
  </si>
  <si>
    <t>Donte</t>
  </si>
  <si>
    <t>Grant</t>
  </si>
  <si>
    <t>Jason</t>
  </si>
  <si>
    <t>Ratliff</t>
  </si>
  <si>
    <t>Cobb</t>
  </si>
  <si>
    <t>Balis</t>
  </si>
  <si>
    <t>Diggs</t>
  </si>
  <si>
    <t>Clark</t>
  </si>
  <si>
    <t>Ellis</t>
  </si>
  <si>
    <t>Kenny</t>
  </si>
  <si>
    <t>Kelly</t>
  </si>
  <si>
    <t>Lane</t>
  </si>
  <si>
    <t>Douglas</t>
  </si>
  <si>
    <t>Doug</t>
  </si>
  <si>
    <t>Adams</t>
  </si>
  <si>
    <t>Kelechi</t>
  </si>
  <si>
    <t>Connor</t>
  </si>
  <si>
    <t>Sragvi</t>
  </si>
  <si>
    <t>Janos</t>
  </si>
  <si>
    <t>Brett</t>
  </si>
  <si>
    <t>Allen</t>
  </si>
  <si>
    <t>Manthan</t>
  </si>
  <si>
    <t>Ricky</t>
  </si>
  <si>
    <t>Riaz</t>
  </si>
  <si>
    <t>Tailor</t>
  </si>
  <si>
    <t>Harley</t>
  </si>
  <si>
    <t>Vajda</t>
  </si>
  <si>
    <t>Tirumala</t>
  </si>
  <si>
    <t>Stine</t>
  </si>
  <si>
    <t>Madu</t>
  </si>
  <si>
    <t>Ben</t>
  </si>
  <si>
    <t>Ian</t>
  </si>
  <si>
    <t>Keshon</t>
  </si>
  <si>
    <t>Bassang</t>
  </si>
  <si>
    <t>Case</t>
  </si>
  <si>
    <t>Thomas</t>
  </si>
  <si>
    <t>Courtney</t>
  </si>
  <si>
    <t>Bryce</t>
  </si>
  <si>
    <t>Holm</t>
  </si>
  <si>
    <t>Bauman</t>
  </si>
  <si>
    <t>Golden</t>
  </si>
  <si>
    <t>McCaw</t>
  </si>
  <si>
    <t>Coleman</t>
  </si>
  <si>
    <t>Atoulelou</t>
  </si>
  <si>
    <t>Guenette</t>
  </si>
  <si>
    <t>Lynen</t>
  </si>
  <si>
    <t>Cubbage</t>
  </si>
  <si>
    <t>Meredith</t>
  </si>
  <si>
    <t>Travis</t>
  </si>
  <si>
    <t>David</t>
  </si>
  <si>
    <t>Jose</t>
  </si>
  <si>
    <t>Russel</t>
  </si>
  <si>
    <t>Tommy</t>
  </si>
  <si>
    <t>Guillermo</t>
  </si>
  <si>
    <t>Gibbs</t>
  </si>
  <si>
    <t>Hays</t>
  </si>
  <si>
    <t>Kasper</t>
  </si>
  <si>
    <t>Carroll</t>
  </si>
  <si>
    <t>Alexander</t>
  </si>
  <si>
    <t>Toledo</t>
  </si>
  <si>
    <t>Verceles</t>
  </si>
  <si>
    <t>Zheng</t>
  </si>
  <si>
    <t>Jacquez</t>
  </si>
  <si>
    <t>Ebrahim</t>
  </si>
  <si>
    <t>Raeid</t>
  </si>
  <si>
    <t>Phil</t>
  </si>
  <si>
    <t>Vanardo</t>
  </si>
  <si>
    <t>Cray</t>
  </si>
  <si>
    <t>Nkenna</t>
  </si>
  <si>
    <t>Junior</t>
  </si>
  <si>
    <t>Jossell</t>
  </si>
  <si>
    <t>Williams</t>
  </si>
  <si>
    <t>Mohamed</t>
  </si>
  <si>
    <t>Choudhury</t>
  </si>
  <si>
    <t>Blasiak</t>
  </si>
  <si>
    <t>Chenard</t>
  </si>
  <si>
    <t>Banks</t>
  </si>
  <si>
    <t>McAndrew</t>
  </si>
  <si>
    <t>Cordero</t>
  </si>
  <si>
    <t>Opara</t>
  </si>
  <si>
    <t>Peralta</t>
  </si>
  <si>
    <t>De Coteau</t>
  </si>
  <si>
    <t>jerseyNumber</t>
  </si>
  <si>
    <t>ryan-fontanazza</t>
  </si>
  <si>
    <t>ryan-ricciardelli</t>
  </si>
  <si>
    <t>sean-denson</t>
  </si>
  <si>
    <t>guy-johnson</t>
  </si>
  <si>
    <t>ryan-maloney</t>
  </si>
  <si>
    <t>ryan-chapman</t>
  </si>
  <si>
    <t>dom-sepko</t>
  </si>
  <si>
    <t>matt-morini</t>
  </si>
  <si>
    <t>clayton-kunzweiler</t>
  </si>
  <si>
    <t>mj-pierre</t>
  </si>
  <si>
    <t>chris-clemente</t>
  </si>
  <si>
    <t>mike-ziller</t>
  </si>
  <si>
    <t>dave-homsher</t>
  </si>
  <si>
    <t>scott-brusseler</t>
  </si>
  <si>
    <t>anthony-shelepets</t>
  </si>
  <si>
    <t>angel-carrion</t>
  </si>
  <si>
    <t>gates-brooks</t>
  </si>
  <si>
    <t>patrick-bellino</t>
  </si>
  <si>
    <t>dylan-meyler</t>
  </si>
  <si>
    <t>brendan-scott</t>
  </si>
  <si>
    <t>kyle-ginter</t>
  </si>
  <si>
    <t>jeff-savage</t>
  </si>
  <si>
    <t>zach-rollman</t>
  </si>
  <si>
    <t>derin-sweeney</t>
  </si>
  <si>
    <t>hakim-jackson</t>
  </si>
  <si>
    <t>kevin-tierney</t>
  </si>
  <si>
    <t>brian-clemens</t>
  </si>
  <si>
    <t>jordan-wilcox</t>
  </si>
  <si>
    <t>donald-owens</t>
  </si>
  <si>
    <t>eli-ratliff</t>
  </si>
  <si>
    <t>deven-cobb</t>
  </si>
  <si>
    <t>niko-balis</t>
  </si>
  <si>
    <t>donte-diggs</t>
  </si>
  <si>
    <t>grant-clark</t>
  </si>
  <si>
    <t>chris-ellis</t>
  </si>
  <si>
    <t>jason-kenny</t>
  </si>
  <si>
    <t>kyle-kelly</t>
  </si>
  <si>
    <t>sean-lane</t>
  </si>
  <si>
    <t>doug-adams</t>
  </si>
  <si>
    <t>kelechi-madu</t>
  </si>
  <si>
    <t>connor-stine</t>
  </si>
  <si>
    <t>sragvi-tirumala</t>
  </si>
  <si>
    <t>janos-vajda</t>
  </si>
  <si>
    <t>brett-ziller</t>
  </si>
  <si>
    <t>allen-harley</t>
  </si>
  <si>
    <t>manthan-tailor</t>
  </si>
  <si>
    <t>ricky-riaz</t>
  </si>
  <si>
    <t>connor-thomas</t>
  </si>
  <si>
    <t>connor-holm</t>
  </si>
  <si>
    <t>jack-bauman</t>
  </si>
  <si>
    <t>ben-golden</t>
  </si>
  <si>
    <t>ian-mccaw</t>
  </si>
  <si>
    <t>keshon-coleman</t>
  </si>
  <si>
    <t>bassang-atoulelou</t>
  </si>
  <si>
    <t>case-guenette</t>
  </si>
  <si>
    <t>thomas-lynen</t>
  </si>
  <si>
    <t>courtney-cubbage</t>
  </si>
  <si>
    <t>bryce-meredith</t>
  </si>
  <si>
    <t>travis-gibbs</t>
  </si>
  <si>
    <t>david-hays</t>
  </si>
  <si>
    <t>thomas-hays</t>
  </si>
  <si>
    <t>matt-kasper</t>
  </si>
  <si>
    <t>kevin-carroll</t>
  </si>
  <si>
    <t>douglas-alexander</t>
  </si>
  <si>
    <t>jose-toledo</t>
  </si>
  <si>
    <t>russel-verceles</t>
  </si>
  <si>
    <t>tommy-zheng</t>
  </si>
  <si>
    <t>guillermo-jacquez</t>
  </si>
  <si>
    <t>jordan-williams</t>
  </si>
  <si>
    <t>ebrahim-mohamed</t>
  </si>
  <si>
    <t>raeid-choudhury</t>
  </si>
  <si>
    <t>grant-blasiak</t>
  </si>
  <si>
    <t>phil-chenard</t>
  </si>
  <si>
    <t>vanardo-banks</t>
  </si>
  <si>
    <t>sean-mcandrew</t>
  </si>
  <si>
    <t>cray-cordero</t>
  </si>
  <si>
    <t>nkenna-opara</t>
  </si>
  <si>
    <t>junior-peralta</t>
  </si>
  <si>
    <t>jossell-de-coteau</t>
  </si>
  <si>
    <t>2026-ball-starz</t>
  </si>
  <si>
    <t>2026-lmba-jam</t>
  </si>
  <si>
    <t>2026-trust-the-process</t>
  </si>
  <si>
    <t>2026-department-of-offense</t>
  </si>
  <si>
    <t>2026-thrillers</t>
  </si>
  <si>
    <t>2026-hash-slinging-slashers</t>
  </si>
  <si>
    <t>2026-prestige-worldwide</t>
  </si>
  <si>
    <t>2026-free-agent-team</t>
  </si>
  <si>
    <t>Kennedy</t>
  </si>
  <si>
    <t>Marone</t>
  </si>
  <si>
    <t>chris-kennedy</t>
  </si>
  <si>
    <t>anthony-marone</t>
  </si>
  <si>
    <t>Nasto</t>
  </si>
  <si>
    <t>thomas-nasto</t>
  </si>
  <si>
    <t>overtimePeriods</t>
  </si>
  <si>
    <t>resultType</t>
  </si>
  <si>
    <t>normal</t>
  </si>
  <si>
    <t>forfeitHome</t>
  </si>
  <si>
    <t>forfeitAway</t>
  </si>
  <si>
    <t>homeTeamId</t>
  </si>
  <si>
    <t>awayTeamId</t>
  </si>
  <si>
    <t>gameId</t>
  </si>
  <si>
    <t>2026-w7-g06</t>
  </si>
  <si>
    <t>2026-w7-g05</t>
  </si>
  <si>
    <t>2026-w7-g04</t>
  </si>
  <si>
    <t>2026-w7-g03</t>
  </si>
  <si>
    <t>2026-w7-g01</t>
  </si>
  <si>
    <t>2026-w6-g07</t>
  </si>
  <si>
    <t>2026-w6-g06</t>
  </si>
  <si>
    <t>2026-w6-g04</t>
  </si>
  <si>
    <t>2026-w6-g03</t>
  </si>
  <si>
    <t>2026-w6-g02</t>
  </si>
  <si>
    <t>2026-w6-g01</t>
  </si>
  <si>
    <t>2026-w5-g05</t>
  </si>
  <si>
    <t>2026-w5-g03</t>
  </si>
  <si>
    <t>2026-w5-g02</t>
  </si>
  <si>
    <t>2026-w5-g01</t>
  </si>
  <si>
    <t>2026-w4-g05</t>
  </si>
  <si>
    <t>2026-w4-g04</t>
  </si>
  <si>
    <t>2026-w4-g03</t>
  </si>
  <si>
    <t>2026-w4-g02</t>
  </si>
  <si>
    <t>2026-w4-g01</t>
  </si>
  <si>
    <t>2026-w3-g07</t>
  </si>
  <si>
    <t>2026-w3-g06</t>
  </si>
  <si>
    <t>2026-w3-g05</t>
  </si>
  <si>
    <t>2026-w3-g04</t>
  </si>
  <si>
    <t>2026-w3-g03</t>
  </si>
  <si>
    <t>2026-w3-g02</t>
  </si>
  <si>
    <t>2026-w3-g01</t>
  </si>
  <si>
    <t>2026-w2-g08</t>
  </si>
  <si>
    <t>2026-w2-g07</t>
  </si>
  <si>
    <t>2026-w2-g06</t>
  </si>
  <si>
    <t>2026-w2-g05</t>
  </si>
  <si>
    <t>2026-w2-g04</t>
  </si>
  <si>
    <t>2026-w2-g03</t>
  </si>
  <si>
    <t>2026-w2-g02</t>
  </si>
  <si>
    <t>2026-w2-g01</t>
  </si>
  <si>
    <t>2026-w1-g02</t>
  </si>
  <si>
    <t>2026-w1-g01</t>
  </si>
  <si>
    <t>fta</t>
  </si>
  <si>
    <t>ftm</t>
  </si>
  <si>
    <t>threeFgm</t>
  </si>
  <si>
    <t>fgm</t>
  </si>
  <si>
    <t>points</t>
  </si>
  <si>
    <t>playerName</t>
  </si>
  <si>
    <t>opponentTeamName</t>
  </si>
  <si>
    <t>opponentTeamId</t>
  </si>
  <si>
    <t>6. Stat columns to fill: points, fgm, threeFgm, ftm, fta.</t>
  </si>
  <si>
    <t>5. The app should treat remaining rows as Games Played entries.</t>
  </si>
  <si>
    <t>4. For forfeits, cancelled, or postponed games, no rows were generated.</t>
  </si>
  <si>
    <t>3. Keep rows for players who played but had no tracked stats, and enter 0 for points/fgm/threeFgm/ftm/fta.</t>
  </si>
  <si>
    <t>2. Delete rows for players who did not play (DNP).</t>
  </si>
  <si>
    <t>1. This sheet includes one row for every rostered player on both teams for each normal scheduled/final game.</t>
  </si>
  <si>
    <t>playerGameStats Template Instructions</t>
  </si>
  <si>
    <t>Wegman</t>
  </si>
  <si>
    <t>david-wegman</t>
  </si>
  <si>
    <t>INSTANT CLASSIC! Ball Starz Close On 35-10 Run To Erase 23-Point Second-Half Deficit</t>
  </si>
  <si>
    <t>Clemente Ignites LMBA Jam Second-Half Surge In Win Over Hash-Slinging Slashers.</t>
  </si>
  <si>
    <t>LMBA Jam exploded for 40 second-half points to erase a halftime deficit and defeat Hash-Slinging Slashers 67-64 in a Week 6 thriller. Chris Clemente buried four second-half threes while Jam sealed the win at the line, finishing a perfect 7-for-7 on clutch free throws down the stretch.</t>
  </si>
  <si>
    <t>Hash-Slinging Slashers Clamp Down Early To Cruise Past Prestige Worldwide</t>
  </si>
  <si>
    <t>Hash-Slinging Slashers controlled the game from the opening tip, building a 12-point halftime lead before finishing off a comfortable 48-33 win over Prestige Worldwide. Strong defense and balanced scoring helped the Slashers improve to 1-0 on the young season.</t>
  </si>
  <si>
    <t>Nkenna Drains Buzzer-Beating Step-Back Three To Lift Free Agent Team Over Thrillers</t>
  </si>
  <si>
    <t>Free-Agent Team pulled off a thrilling 41-38 victory over Thrillers thanks to a clutch buzzer-beater from sharpshooter Nkenna. With the game tied and the clock winding down, Nkenna stepped back beyond the arc and drained a deep three-pointer as time expired to secure the win for Free Agents in a game that had been neck-and-neck throughout. The victory marks a strong start for Free-Agent Team, while Thrillers will look to bounce back in their next outing.</t>
  </si>
  <si>
    <t>Ball Starz Stay Unbeaten Behind Guy Johnson’s Five Threes</t>
  </si>
  <si>
    <t>Ball Starz used a balanced offensive attack and another explosive outing from Guy Johnson to defeat Department of Offense 54-44. Johnson knocked down five triples and scored 19 points as Ball Starz controlled the game from start to finish.</t>
  </si>
  <si>
    <t>Trust The Process Pull Away Late To Secure First Win Of Season</t>
  </si>
  <si>
    <t>Trust The Process turned a competitive matchup into a comfortable double-digit victory in the second half, defeating Prestige Worldwide 52-40. A strong defensive effort helped TTP lock down the game late and even their record.</t>
  </si>
  <si>
    <t>LMBA Jam Explodes For 70 In Statement Win Over Free Agent Team</t>
  </si>
  <si>
    <t>LMBA Jam delivered one of the league’s most dominant offensive performances of the season, rolling past the Free Agent Team 70-39. LMBA Jam’s relentless pace and transition offense overwhelmed the Free Agents from the opening minutes.</t>
  </si>
  <si>
    <t>Hash-Slinging Slashers Dominate Second Half To Upset Short-Handed LMBA Jam</t>
  </si>
  <si>
    <t>After entering halftime tied at 20, Hash-Slinging Slashers completely took over in the second half to defeat a severely depleted LMBA Jam squad 49-32. LMBA Jam was limited to just five available players and missing key contributors Shelepets, Homsher, Brusseler, and Ziller, as the Slashers outscored them 29-12 after the break in one of the league’s strongest defensive performances of the season.</t>
  </si>
  <si>
    <t>Thrillers Rally Again, Erase Seven-Point Halftime Deficit Against Ball Starz</t>
  </si>
  <si>
    <t>For the second time in two weeks, Thrillers stormed back in the second half to steal a win, defeating Ball Starz 53-45. After trailing by seven at halftime, Thrillers exploded for 34 second-half points behind Doug Adams, who poured in 20 points overall with 12 coming after the break to fuel another comeback victory.</t>
  </si>
  <si>
    <t>Department Of Offense Erupts For 69 In High-Scoring Win Over Trust The Process</t>
  </si>
  <si>
    <t>Department of Offense jumped out to a 14-point halftime lead and never looked back in a 69-56 victory over Trust The Process. Even after TTP mounted a stronger second half, D.O.O. continued to answer offensively to secure the win.</t>
  </si>
  <si>
    <t>Hash-Slinging Slashers Continue Defensive Tear In Blowout Win</t>
  </si>
  <si>
    <t>Hash-Slinging Slashers suffocated the Free Agent Team defensively from start to finish, cruising to a 61-32 victory. The Slashers built a 19-point halftime lead and never allowed the Free Agents back into the game.</t>
  </si>
  <si>
    <t>Trust The Process Pull Away Late To Stay Hot</t>
  </si>
  <si>
    <t>Trust The Process used a huge second half to break open a close game and defeat Prestige Worldwide 60-42. After leading by just four at halftime, TTP outscored Prestige 37-23 after the break behind a dominant second-half performance from Hakim Jackson, who scored 13 of his 17 points after halftime.</t>
  </si>
  <si>
    <t>LMBA Jam Outlast Department Of Offense In Offensive Showcase</t>
  </si>
  <si>
    <t>LMBA Jam continued its offensive resurgence with a 65-55 win over Department of Offense. LMBA Jam controlled the pace throughout the night and held off multiple D.O.O. runs to close out the 10-point victory.</t>
  </si>
  <si>
    <t>awardId</t>
  </si>
  <si>
    <t>recipientName</t>
  </si>
  <si>
    <t>Ball Starz Turn Blowout Win Over Free Agent Team Into 3-Point Contest</t>
  </si>
  <si>
    <t>Ball Starz Turn Wednesday Night Into A Track Meet In 90-41 Rout</t>
  </si>
  <si>
    <t>Ball Starz delivered the most explosive offensive performance of the season, overwhelming the Free Agent Team 90-41. The Ball Starz pushed the tempo from the opening tip and never let up, turning the matchup into a full-court track meet while doubling up Free Agent Team on the scoreboard.</t>
  </si>
  <si>
    <t>Trust The Process Lock Down Thrillers In Statement Victory</t>
  </si>
  <si>
    <t>Trust The Process continued its strong midseason run with a convincing 64-48 win over Thrillers. TTP controlled both ends of the floor throughout the game and never allowed Thrillers to build consistent momentum.</t>
  </si>
  <si>
    <t>LMBA Jam Steamroll Thrillers Behind Massive First Half</t>
  </si>
  <si>
    <t>LMBA Jam buried Thrillers early and never looked back in a dominant 66-28 victory. LMBA Jam raced out to a 34-15 halftime lead before completely shutting the door with another huge second half behind Anthony Shelepets, who poured in 26 points in the win.</t>
  </si>
  <si>
    <t>Hash-Slinging Slashers Stay Red Hot With Wire-To-Wire Win</t>
  </si>
  <si>
    <t>Hash-Slinging Slashers continued their impressive run with a 54-45 victory over Prestige Worldwide. The Slashers led by nine at halftime and matched Prestige basket-for-basket in the second half to finish off the win.</t>
  </si>
  <si>
    <t>Trust The Process Explodes For 83 In Blowout Victory</t>
  </si>
  <si>
    <t>Trust The Process explode offensively in an 83-55 rout of the Free Agent Team. TTP pushed the pace from the opening tip and never slowed down.</t>
  </si>
  <si>
    <t>Prestige Worldwide survived a low-scoring thriller against Department of Offense, escaping with a 48-45 win for their first victory of the season. In his season debut, Travis Gibbs sparked Prestige with 15 points and five three-pointers, while timely defensive stops and clutch late possessions sealed the narrow win.</t>
  </si>
  <si>
    <t>Prestige Worldwide Sneak Past Department Of Offense In Defensive Battle For First Win</t>
  </si>
  <si>
    <t>Ball Starz Defense Suffocates Slashers In 25-Point Blowout</t>
  </si>
  <si>
    <t>Ball Starz delivered a dominant two-way performance in a 50-25 dismantling of Hash-Slinging Slashers. After building an 11-point halftime advantage, the Ball Starz completely shut down the Slashers offense in the second half.</t>
  </si>
  <si>
    <t>LMBA Jam Pull Away Late After First-Half Shootout To Avoid Upset</t>
  </si>
  <si>
    <t>LMBA Jam broke open a tied game after halftime to defeat Prestige Worldwide 59-48. After both teams entered the break deadlocked at 32, LMBA Jam tightened up defensively and controlled the final stretch behind former MVP and future first-ballot Hall of Famer Dave Homsher, who erupted for 29 points and seven three-pointers in the win.</t>
  </si>
  <si>
    <t>Trust The Process Survive Overtime Thriller Against Slashers</t>
  </si>
  <si>
    <t>Trust The Process erased a five-point halftime deficit and survived overtime to edge Hash-Slinging Slashers 62-53. TTP closed regulation strong before taking complete control in the extra period.</t>
  </si>
  <si>
    <t>Ball Starz caught fire from deep and never cooled off, burying 22 three-pointers in a 90-36 demolition of the Free Agent Team. The Ball Starz pushed the pace all night and turned the matchup into a full-court shooting exhibition from beyond the arc.</t>
  </si>
  <si>
    <t>Department Of Offense Hold Off Furious Thrillers Comeback</t>
  </si>
  <si>
    <t>Department of Offense looked headed for a blowout after building a 19-point halftime lead, but Thrillers mounted a huge second-half rally before ultimately falling 61-52. D.O.O. did just enough late to escape with the win led by Kyle Kelly and Chris Ellis who combined for 45 points in the victory.</t>
  </si>
  <si>
    <t>Ball Starz Cruise Past Thrillers Behind Dominant First Half</t>
  </si>
  <si>
    <t>Ball Starz got their revenge from their early season loss to the Thrillers. Ball Starzjumped out early and never allowed Thrillers back into the game in a 58-42 victory. The Ball Starz carried a 17-point lead into halftime and controlled the tempo throughout the night.</t>
  </si>
  <si>
    <t>Department Of Offense Awarded Forfeit Victory Over Slashers</t>
  </si>
  <si>
    <t>Prestige Worldwide Awarded Forfeit Victory Over Free Agents</t>
  </si>
  <si>
    <t>Department of Offense earned a 60-20 forfeit victory after Hash-Slinging Slashers were unable to field a valid lineup. The result keeps D.O.O. firmly in the playoff seeding mix heading into Week 6.</t>
  </si>
  <si>
    <t>Prestige Worldwide earned a 60-20 forfeit victory after Free Agents were unable to field a valid lineup. The result gives Prestige Worldwide their second win of the season to vie for better playoff seeding ahead of Week 7.</t>
  </si>
  <si>
    <t>LMBA Jam Win Offensive Shootout Against Trust The Process</t>
  </si>
  <si>
    <t>LMBA Jam outlasted Trust The Process in one of the season’s highest-scoring games, earning a 72-60 victory. LMBA Jam led by just two at halftime before pulling away behind a massive 41-point second half.</t>
  </si>
  <si>
    <t>Department Of Offense Deliver Week 6 Beatdown Of Free Agent Team</t>
  </si>
  <si>
    <t>Department of Offense overwhelmed the Free Agent Team from the opening tip in a lopsided 71-20 victory. D.O.O. built a 21-point halftime lead and completely shut the door by allowing just five second-half points.</t>
  </si>
  <si>
    <t>Thin Ball Starz Squad Handle Week 6 Challenge From Prestige Worldwide With Ease</t>
  </si>
  <si>
    <t>Ball Starz continued their dominant season with a convincing 76-48 win over Prestige Worldwide. MVP Front-Runner Guy Johnson was a surprise no-show come tip-off. Despite no bench, the Ball Starz built a 28-point halftime lead and cruised to another victory.</t>
  </si>
  <si>
    <t>Trust The Process Explode For 82 In Offensive Clinic Against Thrillers</t>
  </si>
  <si>
    <t>Trust The Process turned in one of the league’s most complete offensive performances of the season, rolling past Thrillers 82-50 in Week 6. TTP buried 13 three-pointers and featured a balanced scoring attack led by Kevin Tierney’s 18 points and Jordan Wilcox’s 17, while Doug Adams kept Thrillers competitive early with a game-high 27 points and five triples.</t>
  </si>
  <si>
    <t>In one of the wildest games in recent history, Ball Starz stormed back from a 58-35 second-half deficit with under 12 minutes remaining to stun Trust The Process 70-68. Guy Johnson drilled a game-tying three with 13 seconds left before a costly TTP backcourt violation gave Ball Starz one final chance. Moments later, Ryan Fontanazza was fouled on a three-point attempt with 3.5 seconds remaining and calmly knocked down two clutch free throws to complete the comeback. Trust The Process repeatedly missed critical one-and-one FT opportunities down the stretch, opening the door for the furious 35-10 Ball Starz finish, while Jeff Savage’s half-court buzzer heave nearly stole the game back at the horn.</t>
  </si>
  <si>
    <t>Player of the Week</t>
  </si>
  <si>
    <t>Guy Johnson</t>
  </si>
  <si>
    <t>Still That Guy</t>
  </si>
  <si>
    <t>The reigning MVP opened 2026 right where he left off, dropping 23 points to lead Ball Starz past LMBA Jam in an opening-night championship rematch.</t>
  </si>
  <si>
    <t>Heat Check Award</t>
  </si>
  <si>
    <t>Doug Adams</t>
  </si>
  <si>
    <t>Second-Half Flamethrower</t>
  </si>
  <si>
    <t>Doug Adams caught fire in the second half, pouring in 23 points to lead Thrillers back from a halftime deficit against Department of Offense on opening night.</t>
  </si>
  <si>
    <t>Nkenna Opara</t>
  </si>
  <si>
    <t>Logo Lillard Buzzer-Beater Award</t>
  </si>
  <si>
    <t>Dame Time In Moorestown</t>
  </si>
  <si>
    <t>With the clock winding down, NKenna Opara drilled a cold-blooded long-range step-back three at the buzzer to lift the Free Agent Team over Thrillers in one of the season’s earliest jaw-dropping moments.</t>
  </si>
  <si>
    <t>Captain Comeback</t>
  </si>
  <si>
    <t>Doug Adams delivered another huge performance for Thrillers in Week 2, pouring in 20 points with 12 coming in the second half to fuel yet another comeback victory — this time against previously powerhouse Ball Starz.</t>
  </si>
  <si>
    <t>Built Different Award</t>
  </si>
  <si>
    <t>70-Piece Combo Meal</t>
  </si>
  <si>
    <t>LMBA Jam dropped 70 points on the Free Agent Team in one of the league’s first true offensive explosions of the season.</t>
  </si>
  <si>
    <t>Anthony Shelepets</t>
  </si>
  <si>
    <t>Certified Bucket</t>
  </si>
  <si>
    <t>Anthony Shelepets dominated Week 3 for LMBA Jam, highlighted by a week-high 26-point performance against Thrillers after already scoring 19 in a win earlier in the week versus Department of Offense.</t>
  </si>
  <si>
    <t>Sharpshooter Award</t>
  </si>
  <si>
    <t>Keshon Coleman</t>
  </si>
  <si>
    <t>Microwave Minutes</t>
  </si>
  <si>
    <t>Keshon Coleman turned into a flamethrower against Prestige Worldwide, knocking down six triples and finishing with 18 points for the Slashers.</t>
  </si>
  <si>
    <t>MacGyver Award</t>
  </si>
  <si>
    <t>Week 3 Scorekeepers</t>
  </si>
  <si>
    <t>Loose Leaf Legends</t>
  </si>
  <si>
    <t>When the official scorebook disappeared before tip-off on 4/22, the Week 3 scorekeepers somehow kept the entire league running using notebook paper, tally marks, and pure LM determination and ingenuity.</t>
  </si>
  <si>
    <t>Dave Homsher</t>
  </si>
  <si>
    <t>Vintage MVP</t>
  </si>
  <si>
    <t>Former MVP Dave Homsher delivered the biggest performance of Week 4, exploding for 29 points and seven three-pointers in LMBA Jam’s win over Prestige Worldwide.</t>
  </si>
  <si>
    <t>Kevin Carroll</t>
  </si>
  <si>
    <t>One-Man Flamethrower</t>
  </si>
  <si>
    <t>Kevin Carroll could not miss against LMBA Jam, pouring in 25 points and draining seven triples in one of the league’s hottest shooting performances of the season. However, it wasn't enough for his squad to pull off the upset versus LMBA Jam.</t>
  </si>
  <si>
    <t>Trey Murphy III Most-3PM-in-a-Loss Award</t>
  </si>
  <si>
    <t>Dawg Award</t>
  </si>
  <si>
    <t>Jordan Wilcox</t>
  </si>
  <si>
    <t>Relentless Bucket Getter</t>
  </si>
  <si>
    <t>Jordan Wilcox stayed red hot in Week 4, averaging 22 points across two wins and continuing to anchor the Trust The Process offense.</t>
  </si>
  <si>
    <t>Open Gym Shootaround</t>
  </si>
  <si>
    <t>Kyle Kelly</t>
  </si>
  <si>
    <t>Guy Johnson continued his MVP-caliber season in Week 5, scoring 42 total points across two Ball Starz wins while knocking down 12 three-pointers, including an eight-triple barrage against the Free Agent Team.</t>
  </si>
  <si>
    <t>Automatic From Deep</t>
  </si>
  <si>
    <t>Scott Brusseler</t>
  </si>
  <si>
    <t>Downhill All Night</t>
  </si>
  <si>
    <t>Scott Brusseler relentlessly attacked the rim in LMBA Jam’s win over Trust The Process, finishing with 18 points while going 8-for-10 from the free throw line.</t>
  </si>
  <si>
    <t>Waka Flaka Hard In The Paint Award</t>
  </si>
  <si>
    <t>No Threes Needed</t>
  </si>
  <si>
    <t>Some Things Are Personal</t>
  </si>
  <si>
    <t>Facing his former team, Kyle Kelly delivered a statement performance for Department of Offense, scoring 23 points and knocking down five three-pointers against Thrillers in one of Week 5’s biggest revenge games.</t>
  </si>
  <si>
    <t>Ball Starz turned their Week 5 matchup against the Free Agent Team into a full-on open gym shooting session, raining in 22 three-pointers and pushing the pace all night in a 90-point offensive explosion.</t>
  </si>
  <si>
    <t>Wednesday Night LA Fitness Run</t>
  </si>
  <si>
    <t>Ryan Fontanazza</t>
  </si>
  <si>
    <t>No Fear Free Throws</t>
  </si>
  <si>
    <t>Ryan Fontanazza stepped to the line with the game on the line and calmly knocked down the winning free throws with 3.5 seconds remaining to cap Ball Starz’s miracle comeback against Trust The Process.</t>
  </si>
  <si>
    <t>Big Baller Award</t>
  </si>
  <si>
    <t>New Whip. Same Big Shots.</t>
  </si>
  <si>
    <t>Guy Johnson missed Ball Starz’s Tuesday matchup against Prestige Worldwide after reportedly getting stuck at the dealership spending his MVP bonus money. He showed up Thursday in the new whip and immediately reminded the league who he is, burying a cold-blooded game-tying three with 13 seconds left to help fuel Ball Starz’s miraculous comeback win over Trust The Process.</t>
  </si>
  <si>
    <t>In an era dominated by three-pointers, Anthony Shelepets casually dropped 20 points against Trust The Process without attempting a single triple.</t>
  </si>
  <si>
    <t>X-Factor Award</t>
  </si>
  <si>
    <t>Grant Clark</t>
  </si>
  <si>
    <t>Glue Guy Energy</t>
  </si>
  <si>
    <t>Grant Clark delivered one of the most complete performances of Week 2 in Department of Offense’s win over Trust The Process, knocking down timely shots, spacing the floor, and providing steady two-way play finishing with 19 points in an early statement team victory.</t>
  </si>
  <si>
    <t>Ben Golden</t>
  </si>
  <si>
    <t>Refused To Let Them Die</t>
  </si>
  <si>
    <t>Ben Golden put together one of the grittiest performances of the season in Week 4, scoring 26 points — including 14 in the second half — to help Hash-Slinging Slashers storm back and force overtime against Trust The Process before ultimately falling short.</t>
  </si>
  <si>
    <t>"I Circled This Game In March" Award</t>
  </si>
  <si>
    <t>Somebody Guard Him Award</t>
  </si>
  <si>
    <t>Larry Wright Win-It-at-the-Line Award</t>
  </si>
  <si>
    <t>Chris Clemente</t>
  </si>
  <si>
    <t>Chris Clemente caught fire in the second half against Hash-Slinging Slashers, drilling four clutch three-pointers after halftime to help LMBA Jam pull away in a huge Week 6 victory.</t>
  </si>
  <si>
    <t>No Supporting Cast Award</t>
  </si>
  <si>
    <t>Despite The Loss...</t>
  </si>
  <si>
    <t>Doug Adams did everything he could to keep Thrillers competitive against Trust The Process, exploding for 27 points and five threes while accounting for over half of the team’s offense in the loss.</t>
  </si>
  <si>
    <t>Every Dawg Has His Day Award</t>
  </si>
  <si>
    <t>Career Night Energy</t>
  </si>
  <si>
    <t>Often overlooked behind the likes of Wilcox, Sweeney, and Tierney, Hakim Jackson is known more for doing the dirty work and embracing his role. In Week 3, though, he exploded for 17 points to help lead Trust The Process past Prestige Worldwide.</t>
  </si>
  <si>
    <t>Hakim Jackson</t>
  </si>
  <si>
    <t>Brett Ziller</t>
  </si>
  <si>
    <t>2026-p-qf-01</t>
  </si>
  <si>
    <t>2026-p-qf-02</t>
  </si>
  <si>
    <t>2026-p-qf-g02</t>
  </si>
  <si>
    <t>Patrick Bellino</t>
  </si>
  <si>
    <t>Mike Ziller</t>
  </si>
  <si>
    <t>Angel Carrion</t>
  </si>
  <si>
    <t>Thomas Nasto</t>
  </si>
  <si>
    <t>Gates Brooks</t>
  </si>
  <si>
    <t>Manthan Tailor</t>
  </si>
  <si>
    <t>Janos Vajda</t>
  </si>
  <si>
    <t>Connor Stine</t>
  </si>
  <si>
    <t>Allen Harley</t>
  </si>
  <si>
    <t>Ricky Riaz</t>
  </si>
  <si>
    <t>2026-p-qf-03</t>
  </si>
  <si>
    <t>2026-p-qf-04</t>
  </si>
  <si>
    <t>2026-p-qf-g03</t>
  </si>
  <si>
    <t>Derin Sweeney</t>
  </si>
  <si>
    <t>Kyle Ginter</t>
  </si>
  <si>
    <t>Donald Owens</t>
  </si>
  <si>
    <t>Zach Rollman</t>
  </si>
  <si>
    <t>Jeff Savage</t>
  </si>
  <si>
    <t>Brian Clemens</t>
  </si>
  <si>
    <t>Kevin Tierney</t>
  </si>
  <si>
    <t>Tommy Zheng</t>
  </si>
  <si>
    <t>Matt Kasper</t>
  </si>
  <si>
    <t>Thomas Hays</t>
  </si>
  <si>
    <t>Douglas Alexander</t>
  </si>
  <si>
    <t>Travis Gibbs</t>
  </si>
  <si>
    <t>David Hays</t>
  </si>
  <si>
    <t>2026-p-qf-g04</t>
  </si>
  <si>
    <t>Chris Ellis</t>
  </si>
  <si>
    <t>Eli Ratliff</t>
  </si>
  <si>
    <t>Donte Diggs</t>
  </si>
  <si>
    <t>Deven Cobb</t>
  </si>
  <si>
    <t>jake-bauman</t>
  </si>
  <si>
    <t>Jake</t>
  </si>
  <si>
    <t>Courtney Cubbage</t>
  </si>
  <si>
    <t>Jake Bauman</t>
  </si>
  <si>
    <t>Thomas Lynen</t>
  </si>
  <si>
    <t>Connor Thomas</t>
  </si>
  <si>
    <t>Connor Holm</t>
  </si>
  <si>
    <t>Ian Mccaw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</si>
</sst>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409]h:mm\ AM/PM;@"/>
    <numFmt numFmtId="166" formatCode="yyyy\-mm\-dd"/>
  </numFmts>
  <fonts count="4" x14ac:knownFonts="1">
    <font>
      <sz val="11"/>
      <color theme="1"/>
      <name val="Calibri"/>
      <family val="2"/>
      <scheme val="minor"/>
    </font>
    <font>
      <b/>
      <sz val="11"/>
      <color rgb="FFFFFFFF"/>
      <name val="Calibri"/>
      <family val="2"/>
    </font>
    <font>
      <b/>
      <sz val="14"/>
      <color rgb="FF1E3A8A"/>
      <name val="Calibri"/>
      <family val="2"/>
    </font>
    <font>
      <sz val="8"/>
      <name val="Calibri"/>
      <family val="2"/>
      <scheme val="minor"/>
    </font>
  </fonts>
  <fills count="5">
    <fill>
      <patternFill patternType="none"/>
    </fill>
    <fill>
      <patternFill patternType="gray125"/>
    </fill>
    <fill>
      <patternFill patternType="solid">
        <fgColor rgb="FF1E3A8A"/>
      </patternFill>
    </fill>
    <fill>
      <patternFill patternType="solid">
        <fgColor theme="4" tint="0.79998168889431442"/>
        <bgColor theme="4" tint="0.79998168889431442"/>
      </patternFill>
    </fill>
    <fill>
      <patternFill patternType="solid">
        <fgColor theme="4" tint="0.79998168889431442"/>
        <bgColor indexed="64"/>
      </patternFill>
    </fill>
  </fills>
  <borders count="8">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rgb="FFD9E2EC"/>
      </top>
      <bottom/>
      <diagonal/>
    </border>
    <border>
      <left/>
      <right/>
      <top style="thin">
        <color rgb="FFD9E2EC"/>
      </top>
      <bottom/>
      <diagonal/>
    </border>
    <border>
      <left/>
      <right style="thin">
        <color theme="4" tint="0.39997558519241921"/>
      </right>
      <top style="thin">
        <color rgb="FFD9E2EC"/>
      </top>
      <bottom/>
      <diagonal/>
    </border>
    <border>
      <left/>
      <right style="thin">
        <color theme="4" tint="0.39997558519241921"/>
      </right>
      <top/>
      <bottom/>
      <diagonal/>
    </border>
  </borders>
  <cellStyleXfs count="1">
    <xf numFmtId="0" fontId="0" fillId="0" borderId="0"/>
  </cellStyleXfs>
  <cellXfs count="39">
    <xf numFmtId="0" fontId="0" fillId="0" borderId="0" xfId="0"/>
    <xf numFmtId="0" fontId="0" fillId="0" borderId="0" xfId="0" applyAlignment="1">
      <alignment wrapText="1"/>
    </xf>
    <xf numFmtId="164" fontId="0" fillId="0" borderId="0" xfId="0" applyNumberFormat="1"/>
    <xf numFmtId="165" fontId="0" fillId="0" borderId="0" xfId="0" applyNumberFormat="1"/>
    <xf numFmtId="0" fontId="0" fillId="0" borderId="0" xfId="0" applyAlignment="1">
      <alignment vertical="top" wrapText="1"/>
    </xf>
    <xf numFmtId="0" fontId="2" fillId="0" borderId="0" xfId="0" applyFont="1" applyAlignment="1">
      <alignmen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3" borderId="4" xfId="0" applyFill="1" applyBorder="1"/>
    <xf numFmtId="0" fontId="0" fillId="3" borderId="5" xfId="0" applyFill="1" applyBorder="1"/>
    <xf numFmtId="166" fontId="0" fillId="3" borderId="5" xfId="0" applyNumberFormat="1" applyFill="1" applyBorder="1"/>
    <xf numFmtId="18" fontId="0" fillId="3" borderId="5" xfId="0" applyNumberFormat="1" applyFill="1" applyBorder="1"/>
    <xf numFmtId="0" fontId="0" fillId="3" borderId="6" xfId="0" applyFill="1" applyBorder="1"/>
    <xf numFmtId="0" fontId="0" fillId="0" borderId="1" xfId="0" applyBorder="1"/>
    <xf numFmtId="0" fontId="0" fillId="0" borderId="2" xfId="0" applyBorder="1"/>
    <xf numFmtId="166" fontId="0" fillId="0" borderId="2" xfId="0" applyNumberFormat="1" applyBorder="1"/>
    <xf numFmtId="18" fontId="0" fillId="0" borderId="2" xfId="0" applyNumberFormat="1" applyBorder="1"/>
    <xf numFmtId="0" fontId="0" fillId="0" borderId="3" xfId="0" applyBorder="1"/>
    <xf numFmtId="0" fontId="0" fillId="3" borderId="1" xfId="0" applyFill="1" applyBorder="1"/>
    <xf numFmtId="0" fontId="0" fillId="3" borderId="2" xfId="0" applyFill="1" applyBorder="1"/>
    <xf numFmtId="166" fontId="0" fillId="3" borderId="2" xfId="0" applyNumberFormat="1" applyFill="1" applyBorder="1"/>
    <xf numFmtId="18" fontId="0" fillId="3" borderId="2" xfId="0" applyNumberFormat="1" applyFill="1" applyBorder="1"/>
    <xf numFmtId="0" fontId="0" fillId="3" borderId="3" xfId="0" applyFill="1" applyBorder="1"/>
    <xf numFmtId="0" fontId="0" fillId="3" borderId="0" xfId="0" applyFill="1"/>
    <xf numFmtId="14" fontId="0" fillId="0" borderId="0" xfId="0" applyNumberFormat="1"/>
    <xf numFmtId="0" fontId="0" fillId="0" borderId="7" xfId="0" applyBorder="1"/>
    <xf numFmtId="0" fontId="0" fillId="0" borderId="0" xfId="0" applyFill="1" applyBorder="1"/>
    <xf numFmtId="0" fontId="0" fillId="0" borderId="7" xfId="0" applyFill="1" applyBorder="1"/>
    <xf numFmtId="0" fontId="0" fillId="0" borderId="0" xfId="0" applyFill="1"/>
    <xf numFmtId="14" fontId="0" fillId="0" borderId="0" xfId="0" applyNumberFormat="1" applyFill="1"/>
    <xf numFmtId="18" fontId="0" fillId="0" borderId="2" xfId="0" applyNumberFormat="1" applyFill="1" applyBorder="1"/>
    <xf numFmtId="0" fontId="0" fillId="0" borderId="2" xfId="0" applyFill="1" applyBorder="1"/>
    <xf numFmtId="14" fontId="0" fillId="3" borderId="0" xfId="0" applyNumberFormat="1" applyFill="1"/>
    <xf numFmtId="0" fontId="0" fillId="4" borderId="0" xfId="0" applyFill="1"/>
    <xf numFmtId="14" fontId="0" fillId="4" borderId="0" xfId="0" applyNumberFormat="1" applyFill="1"/>
    <xf numFmtId="0" fontId="0" fillId="4" borderId="0" xfId="0" applyFill="1" applyBorder="1"/>
    <xf numFmtId="0" fontId="0" fillId="4" borderId="2" xfId="0" applyFill="1" applyBorder="1"/>
    <xf numFmtId="0" fontId="0" fillId="4" borderId="7"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B084-F1FD-4DDF-8830-62BD5DF2E7E1}">
  <dimension ref="A1:D3"/>
  <sheetViews>
    <sheetView workbookViewId="0"/>
  </sheetViews>
  <sheetFormatPr defaultRowHeight="15" x14ac:dyDescent="0.25"/>
  <cols>
    <col min="1" max="1" width="9" bestFit="1" customWidth="1"/>
    <col min="2" max="2" width="12.42578125" bestFit="1" customWidth="1"/>
    <col min="3" max="3" width="4.85546875" bestFit="1" customWidth="1"/>
    <col min="4" max="4" width="8" bestFit="1" customWidth="1"/>
  </cols>
  <sheetData>
    <row r="1" spans="1:4" x14ac:dyDescent="0.25">
      <c r="A1" t="s">
        <v>62</v>
      </c>
      <c r="B1" t="s">
        <v>30</v>
      </c>
      <c r="C1" t="s">
        <v>31</v>
      </c>
      <c r="D1" t="s">
        <v>32</v>
      </c>
    </row>
    <row r="2" spans="1:4" x14ac:dyDescent="0.25">
      <c r="A2">
        <v>2026</v>
      </c>
      <c r="B2" t="s">
        <v>33</v>
      </c>
      <c r="C2">
        <v>2026</v>
      </c>
      <c r="D2" t="b">
        <v>1</v>
      </c>
    </row>
    <row r="3" spans="1:4" x14ac:dyDescent="0.25">
      <c r="A3">
        <v>2025</v>
      </c>
      <c r="B3" t="s">
        <v>34</v>
      </c>
      <c r="C3">
        <v>2025</v>
      </c>
      <c r="D3"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5DC85-7508-4ED8-80C4-31FC9AC6447F}">
  <dimension ref="A1:D9"/>
  <sheetViews>
    <sheetView workbookViewId="0"/>
  </sheetViews>
  <sheetFormatPr defaultColWidth="13.42578125" defaultRowHeight="15" x14ac:dyDescent="0.25"/>
  <cols>
    <col min="1" max="1" width="22.140625" bestFit="1" customWidth="1"/>
    <col min="2" max="2" width="23.85546875" customWidth="1"/>
    <col min="3" max="4" width="23.7109375" customWidth="1"/>
  </cols>
  <sheetData>
    <row r="1" spans="1:4" x14ac:dyDescent="0.25">
      <c r="A1" t="s">
        <v>65</v>
      </c>
      <c r="B1" t="s">
        <v>39</v>
      </c>
      <c r="C1" t="s">
        <v>40</v>
      </c>
      <c r="D1" t="s">
        <v>41</v>
      </c>
    </row>
    <row r="2" spans="1:4" x14ac:dyDescent="0.25">
      <c r="A2" t="s">
        <v>10</v>
      </c>
      <c r="B2" t="s">
        <v>42</v>
      </c>
      <c r="C2" t="s">
        <v>50</v>
      </c>
      <c r="D2" t="s">
        <v>51</v>
      </c>
    </row>
    <row r="3" spans="1:4" x14ac:dyDescent="0.25">
      <c r="A3" t="s">
        <v>11</v>
      </c>
      <c r="B3" t="s">
        <v>45</v>
      </c>
      <c r="C3" t="s">
        <v>52</v>
      </c>
      <c r="D3" t="s">
        <v>53</v>
      </c>
    </row>
    <row r="4" spans="1:4" x14ac:dyDescent="0.25">
      <c r="A4" t="s">
        <v>12</v>
      </c>
      <c r="B4" t="s">
        <v>46</v>
      </c>
      <c r="C4" t="s">
        <v>54</v>
      </c>
      <c r="D4" t="s">
        <v>51</v>
      </c>
    </row>
    <row r="5" spans="1:4" x14ac:dyDescent="0.25">
      <c r="A5" t="s">
        <v>15</v>
      </c>
      <c r="B5" t="s">
        <v>48</v>
      </c>
      <c r="C5" t="s">
        <v>55</v>
      </c>
      <c r="D5" t="s">
        <v>56</v>
      </c>
    </row>
    <row r="6" spans="1:4" x14ac:dyDescent="0.25">
      <c r="A6" t="s">
        <v>13</v>
      </c>
      <c r="B6" t="s">
        <v>47</v>
      </c>
      <c r="C6" t="s">
        <v>57</v>
      </c>
      <c r="D6" t="s">
        <v>51</v>
      </c>
    </row>
    <row r="7" spans="1:4" x14ac:dyDescent="0.25">
      <c r="A7" t="s">
        <v>16</v>
      </c>
      <c r="B7" t="s">
        <v>44</v>
      </c>
      <c r="C7" t="s">
        <v>58</v>
      </c>
      <c r="D7" t="s">
        <v>59</v>
      </c>
    </row>
    <row r="8" spans="1:4" x14ac:dyDescent="0.25">
      <c r="A8" t="s">
        <v>14</v>
      </c>
      <c r="B8" t="s">
        <v>43</v>
      </c>
      <c r="C8" t="s">
        <v>60</v>
      </c>
      <c r="D8" t="s">
        <v>56</v>
      </c>
    </row>
    <row r="9" spans="1:4" x14ac:dyDescent="0.25">
      <c r="A9" t="s">
        <v>17</v>
      </c>
      <c r="B9" t="s">
        <v>49</v>
      </c>
      <c r="C9" t="s">
        <v>61</v>
      </c>
      <c r="D9" t="s">
        <v>51</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0164248-69D0-4CA6-BA48-9F4930BD61C3}">
          <x14:formula1>
            <xm:f>selection_values!$A$1:$A$8</xm:f>
          </x14:formula1>
          <xm:sqref>A2:A1048576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F1C6B-220E-458A-BF0E-4D5D55DA1021}">
  <dimension ref="A1:E9"/>
  <sheetViews>
    <sheetView workbookViewId="0">
      <selection activeCell="D5" sqref="D5"/>
    </sheetView>
  </sheetViews>
  <sheetFormatPr defaultRowHeight="15" x14ac:dyDescent="0.25"/>
  <cols>
    <col min="2" max="2" width="22.140625" bestFit="1" customWidth="1"/>
    <col min="3" max="3" width="27" bestFit="1" customWidth="1"/>
    <col min="4" max="4" width="18.140625" customWidth="1"/>
    <col min="5" max="5" width="19.85546875" bestFit="1" customWidth="1"/>
  </cols>
  <sheetData>
    <row r="1" spans="1:5" x14ac:dyDescent="0.25">
      <c r="A1" t="s">
        <v>62</v>
      </c>
      <c r="B1" t="s">
        <v>65</v>
      </c>
      <c r="C1" t="s">
        <v>68</v>
      </c>
      <c r="D1" t="s">
        <v>70</v>
      </c>
      <c r="E1" t="s">
        <v>71</v>
      </c>
    </row>
    <row r="2" spans="1:5" x14ac:dyDescent="0.25">
      <c r="A2">
        <v>2026</v>
      </c>
      <c r="B2" t="s">
        <v>10</v>
      </c>
      <c r="C2" t="str">
        <f>A2&amp;"-"&amp;B2</f>
        <v>2026-ball-starz</v>
      </c>
      <c r="D2" t="s">
        <v>215</v>
      </c>
    </row>
    <row r="3" spans="1:5" x14ac:dyDescent="0.25">
      <c r="A3">
        <v>2026</v>
      </c>
      <c r="B3" t="s">
        <v>11</v>
      </c>
      <c r="C3" t="str">
        <f t="shared" ref="C3:C9" si="0">A3&amp;"-"&amp;B3</f>
        <v>2026-lmba-jam</v>
      </c>
      <c r="D3" t="s">
        <v>225</v>
      </c>
    </row>
    <row r="4" spans="1:5" x14ac:dyDescent="0.25">
      <c r="A4">
        <v>2026</v>
      </c>
      <c r="B4" t="s">
        <v>12</v>
      </c>
      <c r="C4" t="str">
        <f t="shared" si="0"/>
        <v>2026-thrillers</v>
      </c>
      <c r="D4" t="s">
        <v>255</v>
      </c>
    </row>
    <row r="5" spans="1:5" x14ac:dyDescent="0.25">
      <c r="A5">
        <v>2026</v>
      </c>
      <c r="B5" t="s">
        <v>15</v>
      </c>
      <c r="C5" t="str">
        <f t="shared" si="0"/>
        <v>2026-trust-the-process</v>
      </c>
      <c r="D5" t="s">
        <v>235</v>
      </c>
    </row>
    <row r="6" spans="1:5" x14ac:dyDescent="0.25">
      <c r="A6">
        <v>2026</v>
      </c>
      <c r="B6" t="s">
        <v>13</v>
      </c>
      <c r="C6" t="str">
        <f t="shared" si="0"/>
        <v>2026-department-of-offense</v>
      </c>
      <c r="D6" t="s">
        <v>244</v>
      </c>
    </row>
    <row r="7" spans="1:5" x14ac:dyDescent="0.25">
      <c r="A7">
        <v>2026</v>
      </c>
      <c r="B7" t="s">
        <v>16</v>
      </c>
      <c r="C7" t="str">
        <f t="shared" si="0"/>
        <v>2026-prestige-worldwide</v>
      </c>
      <c r="D7" t="s">
        <v>274</v>
      </c>
    </row>
    <row r="8" spans="1:5" x14ac:dyDescent="0.25">
      <c r="A8">
        <v>2026</v>
      </c>
      <c r="B8" t="s">
        <v>14</v>
      </c>
      <c r="C8" t="str">
        <f t="shared" si="0"/>
        <v>2026-hash-slinging-slashers</v>
      </c>
      <c r="D8" t="s">
        <v>262</v>
      </c>
    </row>
    <row r="9" spans="1:5" x14ac:dyDescent="0.25">
      <c r="A9">
        <v>2026</v>
      </c>
      <c r="B9" t="s">
        <v>17</v>
      </c>
      <c r="C9" t="str">
        <f t="shared" si="0"/>
        <v>2026-free-agent-team</v>
      </c>
      <c r="D9" t="s">
        <v>283</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11B837B-FF72-4B99-96BE-FB4809DB3CEE}">
          <x14:formula1>
            <xm:f>selection_values!$A$1:$A$8</xm:f>
          </x14:formula1>
          <xm:sqref>B2:B1048576</xm:sqref>
        </x14:dataValidation>
        <x14:dataValidation type="list" allowBlank="1" showInputMessage="1" showErrorMessage="1" xr:uid="{07504E94-895E-472B-B73D-0FDD4CC37C55}">
          <x14:formula1>
            <xm:f>players!$A$2:$A$84</xm:f>
          </x14:formula1>
          <xm:sqref>D2:D1048576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267D6-E157-49A8-A064-E6DEB5043C8B}">
  <dimension ref="A1:D84"/>
  <sheetViews>
    <sheetView topLeftCell="A52" workbookViewId="0">
      <selection activeCell="E67" sqref="E67"/>
    </sheetView>
  </sheetViews>
  <sheetFormatPr defaultColWidth="36.140625" defaultRowHeight="15" x14ac:dyDescent="0.25"/>
  <sheetData>
    <row r="1" spans="1:4" x14ac:dyDescent="0.25">
      <c r="A1" t="s">
        <v>64</v>
      </c>
      <c r="B1" t="s">
        <v>73</v>
      </c>
      <c r="C1" t="s">
        <v>74</v>
      </c>
      <c r="D1" t="s">
        <v>69</v>
      </c>
    </row>
    <row r="2" spans="1:4" x14ac:dyDescent="0.25">
      <c r="A2" t="str">
        <f>LOWER(SUBSTITUTE(B2&amp;"-"&amp;C2," ","-"))</f>
        <v>ryan-fontanazza</v>
      </c>
      <c r="B2" t="s">
        <v>75</v>
      </c>
      <c r="C2" t="s">
        <v>76</v>
      </c>
      <c r="D2" t="str">
        <f>B2&amp;" "&amp;C2</f>
        <v>Ryan Fontanazza</v>
      </c>
    </row>
    <row r="3" spans="1:4" x14ac:dyDescent="0.25">
      <c r="A3" t="str">
        <f t="shared" ref="A3:A84" si="0">LOWER(SUBSTITUTE(B3&amp;"-"&amp;C3," ","-"))</f>
        <v>ryan-ricciardelli</v>
      </c>
      <c r="B3" t="s">
        <v>75</v>
      </c>
      <c r="C3" t="s">
        <v>77</v>
      </c>
      <c r="D3" t="str">
        <f t="shared" ref="D3:D84" si="1">B3&amp;" "&amp;C3</f>
        <v>Ryan Ricciardelli</v>
      </c>
    </row>
    <row r="4" spans="1:4" x14ac:dyDescent="0.25">
      <c r="A4" t="str">
        <f t="shared" si="0"/>
        <v>sean-denson</v>
      </c>
      <c r="B4" t="s">
        <v>78</v>
      </c>
      <c r="C4" t="s">
        <v>79</v>
      </c>
      <c r="D4" t="str">
        <f t="shared" si="1"/>
        <v>Sean Denson</v>
      </c>
    </row>
    <row r="5" spans="1:4" x14ac:dyDescent="0.25">
      <c r="A5" t="str">
        <f t="shared" si="0"/>
        <v>guy-johnson</v>
      </c>
      <c r="B5" t="s">
        <v>80</v>
      </c>
      <c r="C5" t="s">
        <v>81</v>
      </c>
      <c r="D5" t="str">
        <f t="shared" si="1"/>
        <v>Guy Johnson</v>
      </c>
    </row>
    <row r="6" spans="1:4" x14ac:dyDescent="0.25">
      <c r="A6" t="str">
        <f t="shared" si="0"/>
        <v>ryan-maloney</v>
      </c>
      <c r="B6" t="s">
        <v>75</v>
      </c>
      <c r="C6" t="s">
        <v>82</v>
      </c>
      <c r="D6" t="str">
        <f t="shared" si="1"/>
        <v>Ryan Maloney</v>
      </c>
    </row>
    <row r="7" spans="1:4" x14ac:dyDescent="0.25">
      <c r="A7" t="str">
        <f t="shared" si="0"/>
        <v>ryan-chapman</v>
      </c>
      <c r="B7" t="s">
        <v>75</v>
      </c>
      <c r="C7" t="s">
        <v>83</v>
      </c>
      <c r="D7" t="str">
        <f t="shared" si="1"/>
        <v>Ryan Chapman</v>
      </c>
    </row>
    <row r="8" spans="1:4" x14ac:dyDescent="0.25">
      <c r="A8" t="str">
        <f t="shared" si="0"/>
        <v>dom-sepko</v>
      </c>
      <c r="B8" t="s">
        <v>84</v>
      </c>
      <c r="C8" t="s">
        <v>85</v>
      </c>
      <c r="D8" t="str">
        <f t="shared" si="1"/>
        <v>Dom Sepko</v>
      </c>
    </row>
    <row r="9" spans="1:4" x14ac:dyDescent="0.25">
      <c r="A9" t="str">
        <f t="shared" si="0"/>
        <v>matt-morini</v>
      </c>
      <c r="B9" t="s">
        <v>86</v>
      </c>
      <c r="C9" t="s">
        <v>87</v>
      </c>
      <c r="D9" t="str">
        <f t="shared" si="1"/>
        <v>Matt Morini</v>
      </c>
    </row>
    <row r="10" spans="1:4" x14ac:dyDescent="0.25">
      <c r="A10" t="str">
        <f t="shared" si="0"/>
        <v>clayton-kunzweiler</v>
      </c>
      <c r="B10" t="s">
        <v>88</v>
      </c>
      <c r="C10" t="s">
        <v>89</v>
      </c>
      <c r="D10" t="str">
        <f t="shared" si="1"/>
        <v>Clayton Kunzweiler</v>
      </c>
    </row>
    <row r="11" spans="1:4" x14ac:dyDescent="0.25">
      <c r="A11" t="str">
        <f t="shared" si="0"/>
        <v>mj-pierre</v>
      </c>
      <c r="B11" t="s">
        <v>90</v>
      </c>
      <c r="C11" t="s">
        <v>91</v>
      </c>
      <c r="D11" t="str">
        <f t="shared" si="1"/>
        <v>MJ Pierre</v>
      </c>
    </row>
    <row r="12" spans="1:4" x14ac:dyDescent="0.25">
      <c r="A12" t="str">
        <f t="shared" si="0"/>
        <v>chris-clemente</v>
      </c>
      <c r="B12" t="s">
        <v>92</v>
      </c>
      <c r="C12" t="s">
        <v>93</v>
      </c>
      <c r="D12" t="str">
        <f t="shared" si="1"/>
        <v>Chris Clemente</v>
      </c>
    </row>
    <row r="13" spans="1:4" x14ac:dyDescent="0.25">
      <c r="A13" t="str">
        <f t="shared" si="0"/>
        <v>mike-ziller</v>
      </c>
      <c r="B13" t="s">
        <v>94</v>
      </c>
      <c r="C13" t="s">
        <v>110</v>
      </c>
      <c r="D13" t="str">
        <f t="shared" si="1"/>
        <v>Mike Ziller</v>
      </c>
    </row>
    <row r="14" spans="1:4" x14ac:dyDescent="0.25">
      <c r="A14" t="str">
        <f t="shared" si="0"/>
        <v>dave-homsher</v>
      </c>
      <c r="B14" t="s">
        <v>95</v>
      </c>
      <c r="C14" t="s">
        <v>109</v>
      </c>
      <c r="D14" t="str">
        <f t="shared" si="1"/>
        <v>Dave Homsher</v>
      </c>
    </row>
    <row r="15" spans="1:4" x14ac:dyDescent="0.25">
      <c r="A15" t="str">
        <f t="shared" si="0"/>
        <v>scott-brusseler</v>
      </c>
      <c r="B15" t="s">
        <v>96</v>
      </c>
      <c r="C15" t="s">
        <v>108</v>
      </c>
      <c r="D15" t="str">
        <f t="shared" si="1"/>
        <v>Scott Brusseler</v>
      </c>
    </row>
    <row r="16" spans="1:4" x14ac:dyDescent="0.25">
      <c r="A16" t="str">
        <f t="shared" si="0"/>
        <v>anthony-shelepets</v>
      </c>
      <c r="B16" t="s">
        <v>97</v>
      </c>
      <c r="C16" t="s">
        <v>107</v>
      </c>
      <c r="D16" t="str">
        <f t="shared" si="1"/>
        <v>Anthony Shelepets</v>
      </c>
    </row>
    <row r="17" spans="1:4" x14ac:dyDescent="0.25">
      <c r="A17" t="str">
        <f t="shared" si="0"/>
        <v>angel-carrion</v>
      </c>
      <c r="B17" t="s">
        <v>98</v>
      </c>
      <c r="C17" t="s">
        <v>106</v>
      </c>
      <c r="D17" t="str">
        <f t="shared" si="1"/>
        <v>Angel Carrion</v>
      </c>
    </row>
    <row r="18" spans="1:4" x14ac:dyDescent="0.25">
      <c r="A18" t="str">
        <f t="shared" si="0"/>
        <v>gates-brooks</v>
      </c>
      <c r="B18" t="s">
        <v>99</v>
      </c>
      <c r="C18" t="s">
        <v>105</v>
      </c>
      <c r="D18" t="str">
        <f t="shared" si="1"/>
        <v>Gates Brooks</v>
      </c>
    </row>
    <row r="19" spans="1:4" x14ac:dyDescent="0.25">
      <c r="A19" t="str">
        <f t="shared" si="0"/>
        <v>patrick-bellino</v>
      </c>
      <c r="B19" t="s">
        <v>100</v>
      </c>
      <c r="C19" t="s">
        <v>104</v>
      </c>
      <c r="D19" t="str">
        <f t="shared" si="1"/>
        <v>Patrick Bellino</v>
      </c>
    </row>
    <row r="20" spans="1:4" x14ac:dyDescent="0.25">
      <c r="A20" t="str">
        <f t="shared" si="0"/>
        <v>dylan-meyler</v>
      </c>
      <c r="B20" t="s">
        <v>103</v>
      </c>
      <c r="C20" t="s">
        <v>102</v>
      </c>
      <c r="D20" t="str">
        <f t="shared" si="1"/>
        <v>Dylan Meyler</v>
      </c>
    </row>
    <row r="21" spans="1:4" x14ac:dyDescent="0.25">
      <c r="A21" t="str">
        <f t="shared" si="0"/>
        <v>brendan-scott</v>
      </c>
      <c r="B21" t="s">
        <v>101</v>
      </c>
      <c r="C21" t="s">
        <v>96</v>
      </c>
      <c r="D21" t="str">
        <f t="shared" si="1"/>
        <v>Brendan Scott</v>
      </c>
    </row>
    <row r="22" spans="1:4" x14ac:dyDescent="0.25">
      <c r="A22" t="str">
        <f t="shared" si="0"/>
        <v>thomas-nasto</v>
      </c>
      <c r="B22" t="s">
        <v>167</v>
      </c>
      <c r="C22" t="s">
        <v>306</v>
      </c>
      <c r="D22" t="str">
        <f t="shared" si="1"/>
        <v>Thomas Nasto</v>
      </c>
    </row>
    <row r="23" spans="1:4" x14ac:dyDescent="0.25">
      <c r="A23" t="str">
        <f t="shared" si="0"/>
        <v>kyle-ginter</v>
      </c>
      <c r="B23" t="s">
        <v>111</v>
      </c>
      <c r="C23" t="s">
        <v>120</v>
      </c>
      <c r="D23" t="str">
        <f t="shared" si="1"/>
        <v>Kyle Ginter</v>
      </c>
    </row>
    <row r="24" spans="1:4" x14ac:dyDescent="0.25">
      <c r="A24" t="str">
        <f t="shared" si="0"/>
        <v>jeff-savage</v>
      </c>
      <c r="B24" t="s">
        <v>112</v>
      </c>
      <c r="C24" t="s">
        <v>121</v>
      </c>
      <c r="D24" t="str">
        <f t="shared" si="1"/>
        <v>Jeff Savage</v>
      </c>
    </row>
    <row r="25" spans="1:4" x14ac:dyDescent="0.25">
      <c r="A25" t="str">
        <f t="shared" si="0"/>
        <v>zach-rollman</v>
      </c>
      <c r="B25" t="s">
        <v>113</v>
      </c>
      <c r="C25" t="s">
        <v>122</v>
      </c>
      <c r="D25" t="str">
        <f t="shared" si="1"/>
        <v>Zach Rollman</v>
      </c>
    </row>
    <row r="26" spans="1:4" x14ac:dyDescent="0.25">
      <c r="A26" t="str">
        <f t="shared" si="0"/>
        <v>derin-sweeney</v>
      </c>
      <c r="B26" t="s">
        <v>114</v>
      </c>
      <c r="C26" t="s">
        <v>123</v>
      </c>
      <c r="D26" t="str">
        <f t="shared" si="1"/>
        <v>Derin Sweeney</v>
      </c>
    </row>
    <row r="27" spans="1:4" x14ac:dyDescent="0.25">
      <c r="A27" t="str">
        <f t="shared" si="0"/>
        <v>hakim-jackson</v>
      </c>
      <c r="B27" t="s">
        <v>115</v>
      </c>
      <c r="C27" t="s">
        <v>124</v>
      </c>
      <c r="D27" t="str">
        <f t="shared" si="1"/>
        <v>Hakim Jackson</v>
      </c>
    </row>
    <row r="28" spans="1:4" x14ac:dyDescent="0.25">
      <c r="A28" t="str">
        <f t="shared" si="0"/>
        <v>kevin-tierney</v>
      </c>
      <c r="B28" t="s">
        <v>116</v>
      </c>
      <c r="C28" t="s">
        <v>125</v>
      </c>
      <c r="D28" t="str">
        <f t="shared" si="1"/>
        <v>Kevin Tierney</v>
      </c>
    </row>
    <row r="29" spans="1:4" x14ac:dyDescent="0.25">
      <c r="A29" t="str">
        <f t="shared" si="0"/>
        <v>brian-clemens</v>
      </c>
      <c r="B29" t="s">
        <v>117</v>
      </c>
      <c r="C29" t="s">
        <v>126</v>
      </c>
      <c r="D29" t="str">
        <f t="shared" si="1"/>
        <v>Brian Clemens</v>
      </c>
    </row>
    <row r="30" spans="1:4" x14ac:dyDescent="0.25">
      <c r="A30" t="str">
        <f t="shared" si="0"/>
        <v>jordan-wilcox</v>
      </c>
      <c r="B30" t="s">
        <v>118</v>
      </c>
      <c r="C30" t="s">
        <v>127</v>
      </c>
      <c r="D30" t="str">
        <f t="shared" si="1"/>
        <v>Jordan Wilcox</v>
      </c>
    </row>
    <row r="31" spans="1:4" x14ac:dyDescent="0.25">
      <c r="A31" t="str">
        <f t="shared" si="0"/>
        <v>donald-owens</v>
      </c>
      <c r="B31" t="s">
        <v>119</v>
      </c>
      <c r="C31" t="s">
        <v>128</v>
      </c>
      <c r="D31" t="str">
        <f t="shared" si="1"/>
        <v>Donald Owens</v>
      </c>
    </row>
    <row r="32" spans="1:4" x14ac:dyDescent="0.25">
      <c r="A32" t="str">
        <f t="shared" si="0"/>
        <v>david-wegman</v>
      </c>
      <c r="B32" t="s">
        <v>181</v>
      </c>
      <c r="C32" t="s">
        <v>368</v>
      </c>
      <c r="D32" t="str">
        <f t="shared" si="1"/>
        <v>David Wegman</v>
      </c>
    </row>
    <row r="33" spans="1:4" x14ac:dyDescent="0.25">
      <c r="A33" t="str">
        <f t="shared" si="0"/>
        <v>eli-ratliff</v>
      </c>
      <c r="B33" t="s">
        <v>129</v>
      </c>
      <c r="C33" t="s">
        <v>135</v>
      </c>
      <c r="D33" t="str">
        <f t="shared" si="1"/>
        <v>Eli Ratliff</v>
      </c>
    </row>
    <row r="34" spans="1:4" x14ac:dyDescent="0.25">
      <c r="A34" t="str">
        <f t="shared" si="0"/>
        <v>deven-cobb</v>
      </c>
      <c r="B34" t="s">
        <v>130</v>
      </c>
      <c r="C34" t="s">
        <v>136</v>
      </c>
      <c r="D34" t="str">
        <f t="shared" si="1"/>
        <v>Deven Cobb</v>
      </c>
    </row>
    <row r="35" spans="1:4" x14ac:dyDescent="0.25">
      <c r="A35" t="str">
        <f t="shared" si="0"/>
        <v>niko-balis</v>
      </c>
      <c r="B35" t="s">
        <v>131</v>
      </c>
      <c r="C35" t="s">
        <v>137</v>
      </c>
      <c r="D35" t="str">
        <f t="shared" si="1"/>
        <v>Niko Balis</v>
      </c>
    </row>
    <row r="36" spans="1:4" x14ac:dyDescent="0.25">
      <c r="A36" t="str">
        <f t="shared" si="0"/>
        <v>donte-diggs</v>
      </c>
      <c r="B36" t="s">
        <v>132</v>
      </c>
      <c r="C36" t="s">
        <v>138</v>
      </c>
      <c r="D36" t="str">
        <f t="shared" si="1"/>
        <v>Donte Diggs</v>
      </c>
    </row>
    <row r="37" spans="1:4" x14ac:dyDescent="0.25">
      <c r="A37" t="str">
        <f t="shared" si="0"/>
        <v>grant-clark</v>
      </c>
      <c r="B37" t="s">
        <v>133</v>
      </c>
      <c r="C37" t="s">
        <v>139</v>
      </c>
      <c r="D37" t="str">
        <f t="shared" si="1"/>
        <v>Grant Clark</v>
      </c>
    </row>
    <row r="38" spans="1:4" x14ac:dyDescent="0.25">
      <c r="A38" t="str">
        <f t="shared" si="0"/>
        <v>chris-ellis</v>
      </c>
      <c r="B38" t="s">
        <v>92</v>
      </c>
      <c r="C38" t="s">
        <v>140</v>
      </c>
      <c r="D38" t="str">
        <f t="shared" si="1"/>
        <v>Chris Ellis</v>
      </c>
    </row>
    <row r="39" spans="1:4" x14ac:dyDescent="0.25">
      <c r="A39" t="str">
        <f t="shared" si="0"/>
        <v>jason-kenny</v>
      </c>
      <c r="B39" t="s">
        <v>134</v>
      </c>
      <c r="C39" t="s">
        <v>141</v>
      </c>
      <c r="D39" t="str">
        <f t="shared" si="1"/>
        <v>Jason Kenny</v>
      </c>
    </row>
    <row r="40" spans="1:4" x14ac:dyDescent="0.25">
      <c r="A40" t="str">
        <f t="shared" si="0"/>
        <v>kyle-kelly</v>
      </c>
      <c r="B40" t="s">
        <v>111</v>
      </c>
      <c r="C40" t="s">
        <v>142</v>
      </c>
      <c r="D40" t="str">
        <f t="shared" si="1"/>
        <v>Kyle Kelly</v>
      </c>
    </row>
    <row r="41" spans="1:4" x14ac:dyDescent="0.25">
      <c r="A41" t="str">
        <f t="shared" si="0"/>
        <v>sean-lane</v>
      </c>
      <c r="B41" t="s">
        <v>78</v>
      </c>
      <c r="C41" t="s">
        <v>143</v>
      </c>
      <c r="D41" t="str">
        <f t="shared" si="1"/>
        <v>Sean Lane</v>
      </c>
    </row>
    <row r="42" spans="1:4" x14ac:dyDescent="0.25">
      <c r="A42" t="str">
        <f t="shared" si="0"/>
        <v>chris-kennedy</v>
      </c>
      <c r="B42" t="s">
        <v>92</v>
      </c>
      <c r="C42" t="s">
        <v>302</v>
      </c>
      <c r="D42" t="str">
        <f t="shared" si="1"/>
        <v>Chris Kennedy</v>
      </c>
    </row>
    <row r="43" spans="1:4" x14ac:dyDescent="0.25">
      <c r="A43" t="str">
        <f t="shared" si="0"/>
        <v>anthony-marone</v>
      </c>
      <c r="B43" t="s">
        <v>97</v>
      </c>
      <c r="C43" t="s">
        <v>303</v>
      </c>
      <c r="D43" t="str">
        <f t="shared" si="1"/>
        <v>Anthony Marone</v>
      </c>
    </row>
    <row r="44" spans="1:4" x14ac:dyDescent="0.25">
      <c r="A44" t="str">
        <f t="shared" si="0"/>
        <v>doug-adams</v>
      </c>
      <c r="B44" t="s">
        <v>145</v>
      </c>
      <c r="C44" t="s">
        <v>146</v>
      </c>
      <c r="D44" t="str">
        <f t="shared" si="1"/>
        <v>Doug Adams</v>
      </c>
    </row>
    <row r="45" spans="1:4" x14ac:dyDescent="0.25">
      <c r="A45" t="str">
        <f t="shared" si="0"/>
        <v>kelechi-madu</v>
      </c>
      <c r="B45" t="s">
        <v>147</v>
      </c>
      <c r="C45" t="s">
        <v>161</v>
      </c>
      <c r="D45" t="str">
        <f t="shared" si="1"/>
        <v>Kelechi Madu</v>
      </c>
    </row>
    <row r="46" spans="1:4" x14ac:dyDescent="0.25">
      <c r="A46" t="str">
        <f t="shared" si="0"/>
        <v>connor-stine</v>
      </c>
      <c r="B46" t="s">
        <v>148</v>
      </c>
      <c r="C46" t="s">
        <v>160</v>
      </c>
      <c r="D46" t="str">
        <f t="shared" si="1"/>
        <v>Connor Stine</v>
      </c>
    </row>
    <row r="47" spans="1:4" x14ac:dyDescent="0.25">
      <c r="A47" t="str">
        <f t="shared" si="0"/>
        <v>sragvi-tirumala</v>
      </c>
      <c r="B47" t="s">
        <v>149</v>
      </c>
      <c r="C47" t="s">
        <v>159</v>
      </c>
      <c r="D47" t="str">
        <f t="shared" si="1"/>
        <v>Sragvi Tirumala</v>
      </c>
    </row>
    <row r="48" spans="1:4" x14ac:dyDescent="0.25">
      <c r="A48" t="str">
        <f t="shared" si="0"/>
        <v>janos-vajda</v>
      </c>
      <c r="B48" t="s">
        <v>150</v>
      </c>
      <c r="C48" t="s">
        <v>158</v>
      </c>
      <c r="D48" t="str">
        <f t="shared" si="1"/>
        <v>Janos Vajda</v>
      </c>
    </row>
    <row r="49" spans="1:4" x14ac:dyDescent="0.25">
      <c r="A49" t="str">
        <f t="shared" si="0"/>
        <v>brett-ziller</v>
      </c>
      <c r="B49" t="s">
        <v>151</v>
      </c>
      <c r="C49" t="s">
        <v>110</v>
      </c>
      <c r="D49" t="str">
        <f t="shared" si="1"/>
        <v>Brett Ziller</v>
      </c>
    </row>
    <row r="50" spans="1:4" x14ac:dyDescent="0.25">
      <c r="A50" t="str">
        <f t="shared" si="0"/>
        <v>allen-harley</v>
      </c>
      <c r="B50" t="s">
        <v>152</v>
      </c>
      <c r="C50" t="s">
        <v>157</v>
      </c>
      <c r="D50" t="str">
        <f t="shared" si="1"/>
        <v>Allen Harley</v>
      </c>
    </row>
    <row r="51" spans="1:4" x14ac:dyDescent="0.25">
      <c r="A51" t="str">
        <f t="shared" si="0"/>
        <v>manthan-tailor</v>
      </c>
      <c r="B51" t="s">
        <v>153</v>
      </c>
      <c r="C51" t="s">
        <v>156</v>
      </c>
      <c r="D51" t="str">
        <f t="shared" si="1"/>
        <v>Manthan Tailor</v>
      </c>
    </row>
    <row r="52" spans="1:4" x14ac:dyDescent="0.25">
      <c r="A52" t="str">
        <f t="shared" si="0"/>
        <v>ricky-riaz</v>
      </c>
      <c r="B52" t="s">
        <v>154</v>
      </c>
      <c r="C52" t="s">
        <v>155</v>
      </c>
      <c r="D52" t="str">
        <f t="shared" si="1"/>
        <v>Ricky Riaz</v>
      </c>
    </row>
    <row r="53" spans="1:4" x14ac:dyDescent="0.25">
      <c r="A53" t="str">
        <f t="shared" si="0"/>
        <v>connor-thomas</v>
      </c>
      <c r="B53" t="s">
        <v>148</v>
      </c>
      <c r="C53" t="s">
        <v>167</v>
      </c>
      <c r="D53" t="str">
        <f t="shared" si="1"/>
        <v>Connor Thomas</v>
      </c>
    </row>
    <row r="54" spans="1:4" x14ac:dyDescent="0.25">
      <c r="A54" t="str">
        <f t="shared" si="0"/>
        <v>connor-holm</v>
      </c>
      <c r="B54" t="s">
        <v>148</v>
      </c>
      <c r="C54" t="s">
        <v>170</v>
      </c>
      <c r="D54" t="str">
        <f t="shared" si="1"/>
        <v>Connor Holm</v>
      </c>
    </row>
    <row r="55" spans="1:4" x14ac:dyDescent="0.25">
      <c r="A55" t="str">
        <f t="shared" si="0"/>
        <v>jake-bauman</v>
      </c>
      <c r="B55" t="s">
        <v>548</v>
      </c>
      <c r="C55" t="s">
        <v>171</v>
      </c>
      <c r="D55" t="str">
        <f t="shared" si="1"/>
        <v>Jake Bauman</v>
      </c>
    </row>
    <row r="56" spans="1:4" x14ac:dyDescent="0.25">
      <c r="A56" t="str">
        <f t="shared" si="0"/>
        <v>ben-golden</v>
      </c>
      <c r="B56" t="s">
        <v>162</v>
      </c>
      <c r="C56" t="s">
        <v>172</v>
      </c>
      <c r="D56" t="str">
        <f t="shared" si="1"/>
        <v>Ben Golden</v>
      </c>
    </row>
    <row r="57" spans="1:4" x14ac:dyDescent="0.25">
      <c r="A57" t="str">
        <f t="shared" si="0"/>
        <v>ian-mccaw</v>
      </c>
      <c r="B57" t="s">
        <v>163</v>
      </c>
      <c r="C57" t="s">
        <v>173</v>
      </c>
      <c r="D57" t="str">
        <f t="shared" si="1"/>
        <v>Ian McCaw</v>
      </c>
    </row>
    <row r="58" spans="1:4" x14ac:dyDescent="0.25">
      <c r="A58" t="str">
        <f t="shared" si="0"/>
        <v>keshon-coleman</v>
      </c>
      <c r="B58" t="s">
        <v>164</v>
      </c>
      <c r="C58" t="s">
        <v>174</v>
      </c>
      <c r="D58" t="str">
        <f t="shared" si="1"/>
        <v>Keshon Coleman</v>
      </c>
    </row>
    <row r="59" spans="1:4" x14ac:dyDescent="0.25">
      <c r="A59" t="str">
        <f t="shared" si="0"/>
        <v>bassang-atoulelou</v>
      </c>
      <c r="B59" t="s">
        <v>165</v>
      </c>
      <c r="C59" t="s">
        <v>175</v>
      </c>
      <c r="D59" t="str">
        <f t="shared" si="1"/>
        <v>Bassang Atoulelou</v>
      </c>
    </row>
    <row r="60" spans="1:4" x14ac:dyDescent="0.25">
      <c r="A60" t="str">
        <f t="shared" si="0"/>
        <v>case-guenette</v>
      </c>
      <c r="B60" t="s">
        <v>166</v>
      </c>
      <c r="C60" t="s">
        <v>176</v>
      </c>
      <c r="D60" t="str">
        <f t="shared" si="1"/>
        <v>Case Guenette</v>
      </c>
    </row>
    <row r="61" spans="1:4" x14ac:dyDescent="0.25">
      <c r="A61" t="str">
        <f t="shared" si="0"/>
        <v>thomas-lynen</v>
      </c>
      <c r="B61" t="s">
        <v>167</v>
      </c>
      <c r="C61" t="s">
        <v>177</v>
      </c>
      <c r="D61" t="str">
        <f t="shared" si="1"/>
        <v>Thomas Lynen</v>
      </c>
    </row>
    <row r="62" spans="1:4" x14ac:dyDescent="0.25">
      <c r="A62" t="str">
        <f t="shared" si="0"/>
        <v>courtney-cubbage</v>
      </c>
      <c r="B62" t="s">
        <v>168</v>
      </c>
      <c r="C62" t="s">
        <v>178</v>
      </c>
      <c r="D62" t="str">
        <f t="shared" si="1"/>
        <v>Courtney Cubbage</v>
      </c>
    </row>
    <row r="63" spans="1:4" x14ac:dyDescent="0.25">
      <c r="A63" t="str">
        <f t="shared" si="0"/>
        <v>bryce-meredith</v>
      </c>
      <c r="B63" t="s">
        <v>169</v>
      </c>
      <c r="C63" t="s">
        <v>179</v>
      </c>
      <c r="D63" t="str">
        <f t="shared" si="1"/>
        <v>Bryce Meredith</v>
      </c>
    </row>
    <row r="64" spans="1:4" x14ac:dyDescent="0.25">
      <c r="A64" t="str">
        <f t="shared" si="0"/>
        <v>travis-gibbs</v>
      </c>
      <c r="B64" t="s">
        <v>180</v>
      </c>
      <c r="C64" t="s">
        <v>186</v>
      </c>
      <c r="D64" t="str">
        <f t="shared" si="1"/>
        <v>Travis Gibbs</v>
      </c>
    </row>
    <row r="65" spans="1:4" x14ac:dyDescent="0.25">
      <c r="A65" t="str">
        <f t="shared" si="0"/>
        <v>david-hays</v>
      </c>
      <c r="B65" t="s">
        <v>181</v>
      </c>
      <c r="C65" t="s">
        <v>187</v>
      </c>
      <c r="D65" t="str">
        <f t="shared" si="1"/>
        <v>David Hays</v>
      </c>
    </row>
    <row r="66" spans="1:4" x14ac:dyDescent="0.25">
      <c r="A66" t="str">
        <f t="shared" si="0"/>
        <v>thomas-hays</v>
      </c>
      <c r="B66" t="s">
        <v>167</v>
      </c>
      <c r="C66" t="s">
        <v>187</v>
      </c>
      <c r="D66" t="str">
        <f t="shared" si="1"/>
        <v>Thomas Hays</v>
      </c>
    </row>
    <row r="67" spans="1:4" x14ac:dyDescent="0.25">
      <c r="A67" t="str">
        <f t="shared" si="0"/>
        <v>matt-kasper</v>
      </c>
      <c r="B67" t="s">
        <v>86</v>
      </c>
      <c r="C67" t="s">
        <v>188</v>
      </c>
      <c r="D67" t="str">
        <f t="shared" si="1"/>
        <v>Matt Kasper</v>
      </c>
    </row>
    <row r="68" spans="1:4" x14ac:dyDescent="0.25">
      <c r="A68" t="str">
        <f t="shared" si="0"/>
        <v>kevin-carroll</v>
      </c>
      <c r="B68" t="s">
        <v>116</v>
      </c>
      <c r="C68" t="s">
        <v>189</v>
      </c>
      <c r="D68" t="str">
        <f t="shared" si="1"/>
        <v>Kevin Carroll</v>
      </c>
    </row>
    <row r="69" spans="1:4" x14ac:dyDescent="0.25">
      <c r="A69" t="str">
        <f t="shared" si="0"/>
        <v>douglas-alexander</v>
      </c>
      <c r="B69" t="s">
        <v>144</v>
      </c>
      <c r="C69" t="s">
        <v>190</v>
      </c>
      <c r="D69" t="str">
        <f t="shared" si="1"/>
        <v>Douglas Alexander</v>
      </c>
    </row>
    <row r="70" spans="1:4" x14ac:dyDescent="0.25">
      <c r="A70" t="str">
        <f t="shared" si="0"/>
        <v>jose-toledo</v>
      </c>
      <c r="B70" t="s">
        <v>182</v>
      </c>
      <c r="C70" t="s">
        <v>191</v>
      </c>
      <c r="D70" t="str">
        <f t="shared" si="1"/>
        <v>Jose Toledo</v>
      </c>
    </row>
    <row r="71" spans="1:4" x14ac:dyDescent="0.25">
      <c r="A71" t="str">
        <f t="shared" si="0"/>
        <v>russel-verceles</v>
      </c>
      <c r="B71" t="s">
        <v>183</v>
      </c>
      <c r="C71" t="s">
        <v>192</v>
      </c>
      <c r="D71" t="str">
        <f t="shared" si="1"/>
        <v>Russel Verceles</v>
      </c>
    </row>
    <row r="72" spans="1:4" x14ac:dyDescent="0.25">
      <c r="A72" t="str">
        <f t="shared" si="0"/>
        <v>tommy-zheng</v>
      </c>
      <c r="B72" t="s">
        <v>184</v>
      </c>
      <c r="C72" t="s">
        <v>193</v>
      </c>
      <c r="D72" t="str">
        <f t="shared" si="1"/>
        <v>Tommy Zheng</v>
      </c>
    </row>
    <row r="73" spans="1:4" x14ac:dyDescent="0.25">
      <c r="A73" t="str">
        <f t="shared" si="0"/>
        <v>guillermo-jacquez</v>
      </c>
      <c r="B73" t="s">
        <v>185</v>
      </c>
      <c r="C73" t="s">
        <v>194</v>
      </c>
      <c r="D73" t="str">
        <f t="shared" si="1"/>
        <v>Guillermo Jacquez</v>
      </c>
    </row>
    <row r="74" spans="1:4" x14ac:dyDescent="0.25">
      <c r="A74" t="str">
        <f t="shared" si="0"/>
        <v>jordan-williams</v>
      </c>
      <c r="B74" t="s">
        <v>118</v>
      </c>
      <c r="C74" t="s">
        <v>203</v>
      </c>
      <c r="D74" t="str">
        <f t="shared" si="1"/>
        <v>Jordan Williams</v>
      </c>
    </row>
    <row r="75" spans="1:4" x14ac:dyDescent="0.25">
      <c r="A75" t="str">
        <f t="shared" si="0"/>
        <v>ebrahim-mohamed</v>
      </c>
      <c r="B75" t="s">
        <v>195</v>
      </c>
      <c r="C75" t="s">
        <v>204</v>
      </c>
      <c r="D75" t="str">
        <f t="shared" si="1"/>
        <v>Ebrahim Mohamed</v>
      </c>
    </row>
    <row r="76" spans="1:4" x14ac:dyDescent="0.25">
      <c r="A76" t="str">
        <f t="shared" si="0"/>
        <v>raeid-choudhury</v>
      </c>
      <c r="B76" t="s">
        <v>196</v>
      </c>
      <c r="C76" t="s">
        <v>205</v>
      </c>
      <c r="D76" t="str">
        <f t="shared" si="1"/>
        <v>Raeid Choudhury</v>
      </c>
    </row>
    <row r="77" spans="1:4" x14ac:dyDescent="0.25">
      <c r="A77" t="str">
        <f t="shared" si="0"/>
        <v>grant-blasiak</v>
      </c>
      <c r="B77" t="s">
        <v>133</v>
      </c>
      <c r="C77" t="s">
        <v>206</v>
      </c>
      <c r="D77" t="str">
        <f t="shared" si="1"/>
        <v>Grant Blasiak</v>
      </c>
    </row>
    <row r="78" spans="1:4" x14ac:dyDescent="0.25">
      <c r="A78" t="str">
        <f t="shared" si="0"/>
        <v>phil-chenard</v>
      </c>
      <c r="B78" t="s">
        <v>197</v>
      </c>
      <c r="C78" t="s">
        <v>207</v>
      </c>
      <c r="D78" t="str">
        <f t="shared" si="1"/>
        <v>Phil Chenard</v>
      </c>
    </row>
    <row r="79" spans="1:4" x14ac:dyDescent="0.25">
      <c r="A79" t="str">
        <f t="shared" si="0"/>
        <v>vanardo-banks</v>
      </c>
      <c r="B79" t="s">
        <v>198</v>
      </c>
      <c r="C79" t="s">
        <v>208</v>
      </c>
      <c r="D79" t="str">
        <f t="shared" si="1"/>
        <v>Vanardo Banks</v>
      </c>
    </row>
    <row r="80" spans="1:4" x14ac:dyDescent="0.25">
      <c r="A80" t="str">
        <f t="shared" si="0"/>
        <v>sean-mcandrew</v>
      </c>
      <c r="B80" t="s">
        <v>78</v>
      </c>
      <c r="C80" t="s">
        <v>209</v>
      </c>
      <c r="D80" t="str">
        <f t="shared" si="1"/>
        <v>Sean McAndrew</v>
      </c>
    </row>
    <row r="81" spans="1:4" x14ac:dyDescent="0.25">
      <c r="A81" t="str">
        <f t="shared" si="0"/>
        <v>cray-cordero</v>
      </c>
      <c r="B81" t="s">
        <v>199</v>
      </c>
      <c r="C81" t="s">
        <v>210</v>
      </c>
      <c r="D81" t="str">
        <f t="shared" si="1"/>
        <v>Cray Cordero</v>
      </c>
    </row>
    <row r="82" spans="1:4" x14ac:dyDescent="0.25">
      <c r="A82" t="str">
        <f t="shared" si="0"/>
        <v>nkenna-opara</v>
      </c>
      <c r="B82" t="s">
        <v>200</v>
      </c>
      <c r="C82" t="s">
        <v>211</v>
      </c>
      <c r="D82" t="str">
        <f t="shared" si="1"/>
        <v>Nkenna Opara</v>
      </c>
    </row>
    <row r="83" spans="1:4" x14ac:dyDescent="0.25">
      <c r="A83" t="str">
        <f t="shared" si="0"/>
        <v>junior-peralta</v>
      </c>
      <c r="B83" t="s">
        <v>201</v>
      </c>
      <c r="C83" t="s">
        <v>212</v>
      </c>
      <c r="D83" t="str">
        <f t="shared" si="1"/>
        <v>Junior Peralta</v>
      </c>
    </row>
    <row r="84" spans="1:4" x14ac:dyDescent="0.25">
      <c r="A84" t="str">
        <f t="shared" si="0"/>
        <v>jossell-de-coteau</v>
      </c>
      <c r="B84" t="s">
        <v>202</v>
      </c>
      <c r="C84" t="s">
        <v>213</v>
      </c>
      <c r="D84" t="str">
        <f t="shared" si="1"/>
        <v>Jossell De Coteau</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74647-7387-43C8-BABA-A28ACAB8D6E7}">
  <dimension ref="A1:E84"/>
  <sheetViews>
    <sheetView topLeftCell="A46" workbookViewId="0">
      <selection activeCell="D55" sqref="D55"/>
    </sheetView>
  </sheetViews>
  <sheetFormatPr defaultColWidth="48.140625" defaultRowHeight="15" x14ac:dyDescent="0.25"/>
  <cols>
    <col min="1" max="1" width="9" bestFit="1" customWidth="1"/>
    <col min="2" max="2" width="35.85546875" customWidth="1"/>
    <col min="3" max="3" width="29.42578125" customWidth="1"/>
    <col min="4" max="4" width="25.7109375" customWidth="1"/>
    <col min="5" max="5" width="13.85546875" bestFit="1" customWidth="1"/>
  </cols>
  <sheetData>
    <row r="1" spans="1:5" x14ac:dyDescent="0.25">
      <c r="A1" t="s">
        <v>62</v>
      </c>
      <c r="B1" t="s">
        <v>68</v>
      </c>
      <c r="C1" t="s">
        <v>65</v>
      </c>
      <c r="D1" t="s">
        <v>64</v>
      </c>
      <c r="E1" t="s">
        <v>214</v>
      </c>
    </row>
    <row r="2" spans="1:5" x14ac:dyDescent="0.25">
      <c r="A2">
        <v>2026</v>
      </c>
      <c r="B2" t="s">
        <v>294</v>
      </c>
      <c r="C2" t="s">
        <v>10</v>
      </c>
      <c r="D2" t="s">
        <v>215</v>
      </c>
      <c r="E2">
        <v>22</v>
      </c>
    </row>
    <row r="3" spans="1:5" x14ac:dyDescent="0.25">
      <c r="A3">
        <v>2026</v>
      </c>
      <c r="B3" t="s">
        <v>294</v>
      </c>
      <c r="C3" t="s">
        <v>10</v>
      </c>
      <c r="D3" t="s">
        <v>216</v>
      </c>
      <c r="E3">
        <v>2</v>
      </c>
    </row>
    <row r="4" spans="1:5" x14ac:dyDescent="0.25">
      <c r="A4">
        <v>2026</v>
      </c>
      <c r="B4" t="s">
        <v>294</v>
      </c>
      <c r="C4" t="s">
        <v>10</v>
      </c>
      <c r="D4" t="s">
        <v>217</v>
      </c>
      <c r="E4">
        <v>33</v>
      </c>
    </row>
    <row r="5" spans="1:5" x14ac:dyDescent="0.25">
      <c r="A5">
        <v>2026</v>
      </c>
      <c r="B5" t="s">
        <v>294</v>
      </c>
      <c r="C5" t="s">
        <v>10</v>
      </c>
      <c r="D5" t="s">
        <v>218</v>
      </c>
      <c r="E5">
        <v>9</v>
      </c>
    </row>
    <row r="6" spans="1:5" x14ac:dyDescent="0.25">
      <c r="A6">
        <v>2026</v>
      </c>
      <c r="B6" t="s">
        <v>294</v>
      </c>
      <c r="C6" t="s">
        <v>10</v>
      </c>
      <c r="D6" t="s">
        <v>219</v>
      </c>
      <c r="E6">
        <v>5</v>
      </c>
    </row>
    <row r="7" spans="1:5" x14ac:dyDescent="0.25">
      <c r="A7">
        <v>2026</v>
      </c>
      <c r="B7" t="s">
        <v>294</v>
      </c>
      <c r="C7" t="s">
        <v>10</v>
      </c>
      <c r="D7" t="s">
        <v>220</v>
      </c>
      <c r="E7">
        <v>20</v>
      </c>
    </row>
    <row r="8" spans="1:5" x14ac:dyDescent="0.25">
      <c r="A8">
        <v>2026</v>
      </c>
      <c r="B8" t="s">
        <v>294</v>
      </c>
      <c r="C8" t="s">
        <v>10</v>
      </c>
      <c r="D8" t="s">
        <v>221</v>
      </c>
      <c r="E8">
        <v>3</v>
      </c>
    </row>
    <row r="9" spans="1:5" x14ac:dyDescent="0.25">
      <c r="A9">
        <v>2026</v>
      </c>
      <c r="B9" t="s">
        <v>294</v>
      </c>
      <c r="C9" t="s">
        <v>10</v>
      </c>
      <c r="D9" t="s">
        <v>222</v>
      </c>
      <c r="E9">
        <v>11</v>
      </c>
    </row>
    <row r="10" spans="1:5" x14ac:dyDescent="0.25">
      <c r="A10">
        <v>2026</v>
      </c>
      <c r="B10" t="s">
        <v>294</v>
      </c>
      <c r="C10" t="s">
        <v>10</v>
      </c>
      <c r="D10" t="s">
        <v>223</v>
      </c>
      <c r="E10">
        <v>13</v>
      </c>
    </row>
    <row r="11" spans="1:5" x14ac:dyDescent="0.25">
      <c r="A11">
        <v>2026</v>
      </c>
      <c r="B11" t="s">
        <v>294</v>
      </c>
      <c r="C11" t="s">
        <v>10</v>
      </c>
      <c r="D11" t="s">
        <v>224</v>
      </c>
      <c r="E11">
        <v>24</v>
      </c>
    </row>
    <row r="12" spans="1:5" x14ac:dyDescent="0.25">
      <c r="A12">
        <v>2026</v>
      </c>
      <c r="B12" t="s">
        <v>295</v>
      </c>
      <c r="C12" t="s">
        <v>11</v>
      </c>
      <c r="D12" t="s">
        <v>225</v>
      </c>
      <c r="E12">
        <v>21</v>
      </c>
    </row>
    <row r="13" spans="1:5" x14ac:dyDescent="0.25">
      <c r="A13">
        <v>2026</v>
      </c>
      <c r="B13" t="s">
        <v>295</v>
      </c>
      <c r="C13" t="s">
        <v>11</v>
      </c>
      <c r="D13" t="s">
        <v>226</v>
      </c>
      <c r="E13">
        <v>2</v>
      </c>
    </row>
    <row r="14" spans="1:5" x14ac:dyDescent="0.25">
      <c r="A14">
        <v>2026</v>
      </c>
      <c r="B14" t="s">
        <v>295</v>
      </c>
      <c r="C14" t="s">
        <v>11</v>
      </c>
      <c r="D14" t="s">
        <v>227</v>
      </c>
      <c r="E14">
        <v>3</v>
      </c>
    </row>
    <row r="15" spans="1:5" x14ac:dyDescent="0.25">
      <c r="A15">
        <v>2026</v>
      </c>
      <c r="B15" t="s">
        <v>295</v>
      </c>
      <c r="C15" t="s">
        <v>11</v>
      </c>
      <c r="D15" t="s">
        <v>228</v>
      </c>
      <c r="E15">
        <v>14</v>
      </c>
    </row>
    <row r="16" spans="1:5" x14ac:dyDescent="0.25">
      <c r="A16">
        <v>2026</v>
      </c>
      <c r="B16" t="s">
        <v>295</v>
      </c>
      <c r="C16" t="s">
        <v>11</v>
      </c>
      <c r="D16" t="s">
        <v>229</v>
      </c>
      <c r="E16">
        <v>53</v>
      </c>
    </row>
    <row r="17" spans="1:5" x14ac:dyDescent="0.25">
      <c r="A17">
        <v>2026</v>
      </c>
      <c r="B17" t="s">
        <v>295</v>
      </c>
      <c r="C17" t="s">
        <v>11</v>
      </c>
      <c r="D17" t="s">
        <v>230</v>
      </c>
      <c r="E17">
        <v>7</v>
      </c>
    </row>
    <row r="18" spans="1:5" x14ac:dyDescent="0.25">
      <c r="A18">
        <v>2026</v>
      </c>
      <c r="B18" t="s">
        <v>295</v>
      </c>
      <c r="C18" t="s">
        <v>11</v>
      </c>
      <c r="D18" t="s">
        <v>231</v>
      </c>
      <c r="E18">
        <v>43</v>
      </c>
    </row>
    <row r="19" spans="1:5" x14ac:dyDescent="0.25">
      <c r="A19">
        <v>2026</v>
      </c>
      <c r="B19" t="s">
        <v>295</v>
      </c>
      <c r="C19" t="s">
        <v>11</v>
      </c>
      <c r="D19" t="s">
        <v>232</v>
      </c>
      <c r="E19">
        <v>1</v>
      </c>
    </row>
    <row r="20" spans="1:5" x14ac:dyDescent="0.25">
      <c r="A20">
        <v>2026</v>
      </c>
      <c r="B20" t="s">
        <v>295</v>
      </c>
      <c r="C20" t="s">
        <v>11</v>
      </c>
      <c r="D20" t="s">
        <v>233</v>
      </c>
      <c r="E20">
        <v>10</v>
      </c>
    </row>
    <row r="21" spans="1:5" x14ac:dyDescent="0.25">
      <c r="A21">
        <v>2026</v>
      </c>
      <c r="B21" t="s">
        <v>295</v>
      </c>
      <c r="C21" t="s">
        <v>11</v>
      </c>
      <c r="D21" t="s">
        <v>234</v>
      </c>
      <c r="E21">
        <v>11</v>
      </c>
    </row>
    <row r="22" spans="1:5" x14ac:dyDescent="0.25">
      <c r="A22">
        <v>2026</v>
      </c>
      <c r="B22" t="s">
        <v>295</v>
      </c>
      <c r="C22" t="s">
        <v>11</v>
      </c>
      <c r="D22" t="s">
        <v>307</v>
      </c>
      <c r="E22">
        <v>9</v>
      </c>
    </row>
    <row r="23" spans="1:5" x14ac:dyDescent="0.25">
      <c r="A23">
        <v>2026</v>
      </c>
      <c r="B23" t="s">
        <v>296</v>
      </c>
      <c r="C23" t="s">
        <v>15</v>
      </c>
      <c r="D23" t="s">
        <v>235</v>
      </c>
      <c r="E23">
        <v>7</v>
      </c>
    </row>
    <row r="24" spans="1:5" x14ac:dyDescent="0.25">
      <c r="A24">
        <v>2026</v>
      </c>
      <c r="B24" t="s">
        <v>296</v>
      </c>
      <c r="C24" t="s">
        <v>15</v>
      </c>
      <c r="D24" t="s">
        <v>236</v>
      </c>
      <c r="E24">
        <v>14</v>
      </c>
    </row>
    <row r="25" spans="1:5" x14ac:dyDescent="0.25">
      <c r="A25">
        <v>2026</v>
      </c>
      <c r="B25" t="s">
        <v>296</v>
      </c>
      <c r="C25" t="s">
        <v>15</v>
      </c>
      <c r="D25" t="s">
        <v>237</v>
      </c>
      <c r="E25">
        <v>13</v>
      </c>
    </row>
    <row r="26" spans="1:5" x14ac:dyDescent="0.25">
      <c r="A26">
        <v>2026</v>
      </c>
      <c r="B26" t="s">
        <v>296</v>
      </c>
      <c r="C26" t="s">
        <v>15</v>
      </c>
      <c r="D26" t="s">
        <v>238</v>
      </c>
      <c r="E26">
        <v>0</v>
      </c>
    </row>
    <row r="27" spans="1:5" x14ac:dyDescent="0.25">
      <c r="A27">
        <v>2026</v>
      </c>
      <c r="B27" t="s">
        <v>296</v>
      </c>
      <c r="C27" t="s">
        <v>15</v>
      </c>
      <c r="D27" t="s">
        <v>239</v>
      </c>
      <c r="E27">
        <v>77</v>
      </c>
    </row>
    <row r="28" spans="1:5" x14ac:dyDescent="0.25">
      <c r="A28">
        <v>2026</v>
      </c>
      <c r="B28" t="s">
        <v>296</v>
      </c>
      <c r="C28" t="s">
        <v>15</v>
      </c>
      <c r="D28" t="s">
        <v>240</v>
      </c>
      <c r="E28">
        <v>1</v>
      </c>
    </row>
    <row r="29" spans="1:5" x14ac:dyDescent="0.25">
      <c r="A29">
        <v>2026</v>
      </c>
      <c r="B29" t="s">
        <v>296</v>
      </c>
      <c r="C29" t="s">
        <v>15</v>
      </c>
      <c r="D29" t="s">
        <v>241</v>
      </c>
      <c r="E29">
        <v>17</v>
      </c>
    </row>
    <row r="30" spans="1:5" x14ac:dyDescent="0.25">
      <c r="A30">
        <v>2026</v>
      </c>
      <c r="B30" t="s">
        <v>296</v>
      </c>
      <c r="C30" t="s">
        <v>15</v>
      </c>
      <c r="D30" t="s">
        <v>242</v>
      </c>
      <c r="E30">
        <v>24</v>
      </c>
    </row>
    <row r="31" spans="1:5" x14ac:dyDescent="0.25">
      <c r="A31">
        <v>2026</v>
      </c>
      <c r="B31" t="s">
        <v>296</v>
      </c>
      <c r="C31" t="s">
        <v>15</v>
      </c>
      <c r="D31" t="s">
        <v>243</v>
      </c>
      <c r="E31">
        <v>11</v>
      </c>
    </row>
    <row r="32" spans="1:5" x14ac:dyDescent="0.25">
      <c r="A32">
        <v>2026</v>
      </c>
      <c r="B32" t="s">
        <v>296</v>
      </c>
      <c r="C32" t="s">
        <v>15</v>
      </c>
      <c r="D32" t="s">
        <v>369</v>
      </c>
      <c r="E32">
        <v>43</v>
      </c>
    </row>
    <row r="33" spans="1:5" x14ac:dyDescent="0.25">
      <c r="A33">
        <v>2026</v>
      </c>
      <c r="B33" t="s">
        <v>297</v>
      </c>
      <c r="C33" t="s">
        <v>13</v>
      </c>
      <c r="D33" t="s">
        <v>244</v>
      </c>
      <c r="E33">
        <v>4</v>
      </c>
    </row>
    <row r="34" spans="1:5" x14ac:dyDescent="0.25">
      <c r="A34">
        <v>2026</v>
      </c>
      <c r="B34" t="s">
        <v>297</v>
      </c>
      <c r="C34" t="s">
        <v>13</v>
      </c>
      <c r="D34" t="s">
        <v>245</v>
      </c>
      <c r="E34">
        <v>22</v>
      </c>
    </row>
    <row r="35" spans="1:5" x14ac:dyDescent="0.25">
      <c r="A35">
        <v>2026</v>
      </c>
      <c r="B35" t="s">
        <v>297</v>
      </c>
      <c r="C35" t="s">
        <v>13</v>
      </c>
      <c r="D35" t="s">
        <v>246</v>
      </c>
      <c r="E35">
        <v>51</v>
      </c>
    </row>
    <row r="36" spans="1:5" x14ac:dyDescent="0.25">
      <c r="A36">
        <v>2026</v>
      </c>
      <c r="B36" t="s">
        <v>297</v>
      </c>
      <c r="C36" t="s">
        <v>13</v>
      </c>
      <c r="D36" t="s">
        <v>247</v>
      </c>
      <c r="E36">
        <v>21</v>
      </c>
    </row>
    <row r="37" spans="1:5" x14ac:dyDescent="0.25">
      <c r="A37">
        <v>2026</v>
      </c>
      <c r="B37" t="s">
        <v>297</v>
      </c>
      <c r="C37" t="s">
        <v>13</v>
      </c>
      <c r="D37" t="s">
        <v>248</v>
      </c>
      <c r="E37">
        <v>1</v>
      </c>
    </row>
    <row r="38" spans="1:5" x14ac:dyDescent="0.25">
      <c r="A38">
        <v>2026</v>
      </c>
      <c r="B38" t="s">
        <v>297</v>
      </c>
      <c r="C38" t="s">
        <v>13</v>
      </c>
      <c r="D38" t="s">
        <v>249</v>
      </c>
      <c r="E38">
        <v>0</v>
      </c>
    </row>
    <row r="39" spans="1:5" x14ac:dyDescent="0.25">
      <c r="A39">
        <v>2026</v>
      </c>
      <c r="B39" t="s">
        <v>297</v>
      </c>
      <c r="C39" t="s">
        <v>13</v>
      </c>
      <c r="D39" t="s">
        <v>250</v>
      </c>
    </row>
    <row r="40" spans="1:5" x14ac:dyDescent="0.25">
      <c r="A40">
        <v>2026</v>
      </c>
      <c r="B40" t="s">
        <v>297</v>
      </c>
      <c r="C40" t="s">
        <v>13</v>
      </c>
      <c r="D40" t="s">
        <v>251</v>
      </c>
      <c r="E40">
        <v>13</v>
      </c>
    </row>
    <row r="41" spans="1:5" x14ac:dyDescent="0.25">
      <c r="A41">
        <v>2026</v>
      </c>
      <c r="B41" t="s">
        <v>297</v>
      </c>
      <c r="C41" t="s">
        <v>13</v>
      </c>
      <c r="D41" t="s">
        <v>252</v>
      </c>
      <c r="E41">
        <v>3</v>
      </c>
    </row>
    <row r="42" spans="1:5" x14ac:dyDescent="0.25">
      <c r="A42">
        <v>2026</v>
      </c>
      <c r="B42" t="s">
        <v>297</v>
      </c>
      <c r="C42" t="s">
        <v>13</v>
      </c>
      <c r="D42" t="s">
        <v>304</v>
      </c>
      <c r="E42">
        <v>33</v>
      </c>
    </row>
    <row r="43" spans="1:5" x14ac:dyDescent="0.25">
      <c r="A43">
        <v>2026</v>
      </c>
      <c r="B43" t="s">
        <v>297</v>
      </c>
      <c r="C43" t="s">
        <v>13</v>
      </c>
      <c r="D43" t="s">
        <v>305</v>
      </c>
      <c r="E43">
        <v>32</v>
      </c>
    </row>
    <row r="44" spans="1:5" x14ac:dyDescent="0.25">
      <c r="A44">
        <v>2026</v>
      </c>
      <c r="B44" t="s">
        <v>298</v>
      </c>
      <c r="C44" t="s">
        <v>12</v>
      </c>
      <c r="D44" t="s">
        <v>253</v>
      </c>
      <c r="E44">
        <v>3</v>
      </c>
    </row>
    <row r="45" spans="1:5" x14ac:dyDescent="0.25">
      <c r="A45">
        <v>2026</v>
      </c>
      <c r="B45" t="s">
        <v>298</v>
      </c>
      <c r="C45" t="s">
        <v>12</v>
      </c>
      <c r="D45" t="s">
        <v>254</v>
      </c>
      <c r="E45">
        <v>13</v>
      </c>
    </row>
    <row r="46" spans="1:5" x14ac:dyDescent="0.25">
      <c r="A46">
        <v>2026</v>
      </c>
      <c r="B46" t="s">
        <v>298</v>
      </c>
      <c r="C46" t="s">
        <v>12</v>
      </c>
      <c r="D46" t="s">
        <v>255</v>
      </c>
      <c r="E46">
        <v>14</v>
      </c>
    </row>
    <row r="47" spans="1:5" x14ac:dyDescent="0.25">
      <c r="A47">
        <v>2026</v>
      </c>
      <c r="B47" t="s">
        <v>298</v>
      </c>
      <c r="C47" t="s">
        <v>12</v>
      </c>
      <c r="D47" t="s">
        <v>256</v>
      </c>
      <c r="E47">
        <v>17</v>
      </c>
    </row>
    <row r="48" spans="1:5" x14ac:dyDescent="0.25">
      <c r="A48">
        <v>2026</v>
      </c>
      <c r="B48" t="s">
        <v>298</v>
      </c>
      <c r="C48" t="s">
        <v>12</v>
      </c>
      <c r="D48" t="s">
        <v>257</v>
      </c>
      <c r="E48">
        <v>5</v>
      </c>
    </row>
    <row r="49" spans="1:5" x14ac:dyDescent="0.25">
      <c r="A49">
        <v>2026</v>
      </c>
      <c r="B49" t="s">
        <v>298</v>
      </c>
      <c r="C49" t="s">
        <v>12</v>
      </c>
      <c r="D49" t="s">
        <v>258</v>
      </c>
      <c r="E49">
        <v>8</v>
      </c>
    </row>
    <row r="50" spans="1:5" x14ac:dyDescent="0.25">
      <c r="A50">
        <v>2026</v>
      </c>
      <c r="B50" t="s">
        <v>298</v>
      </c>
      <c r="C50" t="s">
        <v>12</v>
      </c>
      <c r="D50" t="s">
        <v>259</v>
      </c>
      <c r="E50">
        <v>21</v>
      </c>
    </row>
    <row r="51" spans="1:5" x14ac:dyDescent="0.25">
      <c r="A51">
        <v>2026</v>
      </c>
      <c r="B51" t="s">
        <v>298</v>
      </c>
      <c r="C51" t="s">
        <v>12</v>
      </c>
      <c r="D51" t="s">
        <v>260</v>
      </c>
      <c r="E51">
        <v>2</v>
      </c>
    </row>
    <row r="52" spans="1:5" x14ac:dyDescent="0.25">
      <c r="A52">
        <v>2026</v>
      </c>
      <c r="B52" t="s">
        <v>298</v>
      </c>
      <c r="C52" t="s">
        <v>12</v>
      </c>
      <c r="D52" t="s">
        <v>261</v>
      </c>
      <c r="E52">
        <v>30</v>
      </c>
    </row>
    <row r="53" spans="1:5" x14ac:dyDescent="0.25">
      <c r="A53">
        <v>2026</v>
      </c>
      <c r="B53" t="s">
        <v>299</v>
      </c>
      <c r="C53" t="s">
        <v>14</v>
      </c>
      <c r="D53" t="s">
        <v>262</v>
      </c>
      <c r="E53">
        <v>9</v>
      </c>
    </row>
    <row r="54" spans="1:5" x14ac:dyDescent="0.25">
      <c r="A54">
        <v>2026</v>
      </c>
      <c r="B54" t="s">
        <v>299</v>
      </c>
      <c r="C54" t="s">
        <v>14</v>
      </c>
      <c r="D54" t="s">
        <v>263</v>
      </c>
      <c r="E54">
        <v>12</v>
      </c>
    </row>
    <row r="55" spans="1:5" x14ac:dyDescent="0.25">
      <c r="A55">
        <v>2026</v>
      </c>
      <c r="B55" t="s">
        <v>299</v>
      </c>
      <c r="C55" t="s">
        <v>14</v>
      </c>
      <c r="D55" t="s">
        <v>264</v>
      </c>
      <c r="E55">
        <v>6</v>
      </c>
    </row>
    <row r="56" spans="1:5" x14ac:dyDescent="0.25">
      <c r="A56">
        <v>2026</v>
      </c>
      <c r="B56" t="s">
        <v>299</v>
      </c>
      <c r="C56" t="s">
        <v>14</v>
      </c>
      <c r="D56" t="s">
        <v>265</v>
      </c>
      <c r="E56">
        <v>8</v>
      </c>
    </row>
    <row r="57" spans="1:5" x14ac:dyDescent="0.25">
      <c r="A57">
        <v>2026</v>
      </c>
      <c r="B57" t="s">
        <v>299</v>
      </c>
      <c r="C57" t="s">
        <v>14</v>
      </c>
      <c r="D57" t="s">
        <v>266</v>
      </c>
      <c r="E57">
        <v>50</v>
      </c>
    </row>
    <row r="58" spans="1:5" x14ac:dyDescent="0.25">
      <c r="A58">
        <v>2026</v>
      </c>
      <c r="B58" t="s">
        <v>299</v>
      </c>
      <c r="C58" t="s">
        <v>14</v>
      </c>
      <c r="D58" t="s">
        <v>267</v>
      </c>
      <c r="E58">
        <v>4</v>
      </c>
    </row>
    <row r="59" spans="1:5" x14ac:dyDescent="0.25">
      <c r="A59">
        <v>2026</v>
      </c>
      <c r="B59" t="s">
        <v>299</v>
      </c>
      <c r="C59" t="s">
        <v>14</v>
      </c>
      <c r="D59" t="s">
        <v>268</v>
      </c>
      <c r="E59">
        <v>2</v>
      </c>
    </row>
    <row r="60" spans="1:5" x14ac:dyDescent="0.25">
      <c r="A60">
        <v>2026</v>
      </c>
      <c r="B60" t="s">
        <v>299</v>
      </c>
      <c r="C60" t="s">
        <v>14</v>
      </c>
      <c r="D60" t="s">
        <v>269</v>
      </c>
      <c r="E60">
        <v>55</v>
      </c>
    </row>
    <row r="61" spans="1:5" x14ac:dyDescent="0.25">
      <c r="A61">
        <v>2026</v>
      </c>
      <c r="B61" t="s">
        <v>299</v>
      </c>
      <c r="C61" t="s">
        <v>14</v>
      </c>
      <c r="D61" t="s">
        <v>270</v>
      </c>
      <c r="E61">
        <v>7</v>
      </c>
    </row>
    <row r="62" spans="1:5" x14ac:dyDescent="0.25">
      <c r="A62">
        <v>2026</v>
      </c>
      <c r="B62" t="s">
        <v>299</v>
      </c>
      <c r="C62" t="s">
        <v>14</v>
      </c>
      <c r="D62" t="s">
        <v>271</v>
      </c>
      <c r="E62">
        <v>1</v>
      </c>
    </row>
    <row r="63" spans="1:5" x14ac:dyDescent="0.25">
      <c r="A63">
        <v>2026</v>
      </c>
      <c r="B63" t="s">
        <v>299</v>
      </c>
      <c r="C63" t="s">
        <v>14</v>
      </c>
      <c r="D63" t="s">
        <v>272</v>
      </c>
      <c r="E63">
        <v>3</v>
      </c>
    </row>
    <row r="64" spans="1:5" x14ac:dyDescent="0.25">
      <c r="A64">
        <v>2026</v>
      </c>
      <c r="B64" t="s">
        <v>300</v>
      </c>
      <c r="C64" t="s">
        <v>16</v>
      </c>
      <c r="D64" t="s">
        <v>273</v>
      </c>
      <c r="E64">
        <v>11</v>
      </c>
    </row>
    <row r="65" spans="1:5" x14ac:dyDescent="0.25">
      <c r="A65">
        <v>2026</v>
      </c>
      <c r="B65" t="s">
        <v>300</v>
      </c>
      <c r="C65" t="s">
        <v>16</v>
      </c>
      <c r="D65" t="s">
        <v>274</v>
      </c>
      <c r="E65">
        <v>17</v>
      </c>
    </row>
    <row r="66" spans="1:5" x14ac:dyDescent="0.25">
      <c r="A66">
        <v>2026</v>
      </c>
      <c r="B66" t="s">
        <v>300</v>
      </c>
      <c r="C66" t="s">
        <v>16</v>
      </c>
      <c r="D66" t="s">
        <v>275</v>
      </c>
      <c r="E66">
        <v>8</v>
      </c>
    </row>
    <row r="67" spans="1:5" x14ac:dyDescent="0.25">
      <c r="A67">
        <v>2026</v>
      </c>
      <c r="B67" t="s">
        <v>300</v>
      </c>
      <c r="C67" t="s">
        <v>16</v>
      </c>
      <c r="D67" t="s">
        <v>276</v>
      </c>
      <c r="E67">
        <v>7</v>
      </c>
    </row>
    <row r="68" spans="1:5" x14ac:dyDescent="0.25">
      <c r="A68">
        <v>2026</v>
      </c>
      <c r="B68" t="s">
        <v>300</v>
      </c>
      <c r="C68" t="s">
        <v>16</v>
      </c>
      <c r="D68" t="s">
        <v>277</v>
      </c>
      <c r="E68">
        <v>2</v>
      </c>
    </row>
    <row r="69" spans="1:5" x14ac:dyDescent="0.25">
      <c r="A69">
        <v>2026</v>
      </c>
      <c r="B69" t="s">
        <v>300</v>
      </c>
      <c r="C69" t="s">
        <v>16</v>
      </c>
      <c r="D69" t="s">
        <v>278</v>
      </c>
      <c r="E69">
        <v>10</v>
      </c>
    </row>
    <row r="70" spans="1:5" x14ac:dyDescent="0.25">
      <c r="A70">
        <v>2026</v>
      </c>
      <c r="B70" t="s">
        <v>300</v>
      </c>
      <c r="C70" t="s">
        <v>16</v>
      </c>
      <c r="D70" t="s">
        <v>279</v>
      </c>
      <c r="E70">
        <v>25</v>
      </c>
    </row>
    <row r="71" spans="1:5" x14ac:dyDescent="0.25">
      <c r="A71">
        <v>2026</v>
      </c>
      <c r="B71" t="s">
        <v>300</v>
      </c>
      <c r="C71" t="s">
        <v>16</v>
      </c>
      <c r="D71" t="s">
        <v>280</v>
      </c>
      <c r="E71">
        <v>32</v>
      </c>
    </row>
    <row r="72" spans="1:5" x14ac:dyDescent="0.25">
      <c r="A72">
        <v>2026</v>
      </c>
      <c r="B72" t="s">
        <v>300</v>
      </c>
      <c r="C72" t="s">
        <v>16</v>
      </c>
      <c r="D72" t="s">
        <v>281</v>
      </c>
      <c r="E72">
        <v>5</v>
      </c>
    </row>
    <row r="73" spans="1:5" x14ac:dyDescent="0.25">
      <c r="A73">
        <v>2026</v>
      </c>
      <c r="B73" t="s">
        <v>300</v>
      </c>
      <c r="C73" t="s">
        <v>16</v>
      </c>
      <c r="D73" t="s">
        <v>282</v>
      </c>
      <c r="E73">
        <v>13</v>
      </c>
    </row>
    <row r="74" spans="1:5" x14ac:dyDescent="0.25">
      <c r="A74">
        <v>2026</v>
      </c>
      <c r="B74" t="s">
        <v>301</v>
      </c>
      <c r="C74" t="s">
        <v>17</v>
      </c>
      <c r="D74" t="s">
        <v>283</v>
      </c>
      <c r="E74">
        <v>15</v>
      </c>
    </row>
    <row r="75" spans="1:5" x14ac:dyDescent="0.25">
      <c r="A75">
        <v>2026</v>
      </c>
      <c r="B75" t="s">
        <v>301</v>
      </c>
      <c r="C75" t="s">
        <v>17</v>
      </c>
      <c r="D75" t="s">
        <v>284</v>
      </c>
      <c r="E75">
        <v>9</v>
      </c>
    </row>
    <row r="76" spans="1:5" x14ac:dyDescent="0.25">
      <c r="A76">
        <v>2026</v>
      </c>
      <c r="B76" t="s">
        <v>301</v>
      </c>
      <c r="C76" t="s">
        <v>17</v>
      </c>
      <c r="D76" t="s">
        <v>285</v>
      </c>
      <c r="E76">
        <v>1</v>
      </c>
    </row>
    <row r="77" spans="1:5" x14ac:dyDescent="0.25">
      <c r="A77">
        <v>2026</v>
      </c>
      <c r="B77" t="s">
        <v>301</v>
      </c>
      <c r="C77" t="s">
        <v>17</v>
      </c>
      <c r="D77" t="s">
        <v>286</v>
      </c>
      <c r="E77">
        <v>55</v>
      </c>
    </row>
    <row r="78" spans="1:5" x14ac:dyDescent="0.25">
      <c r="A78">
        <v>2026</v>
      </c>
      <c r="B78" t="s">
        <v>301</v>
      </c>
      <c r="C78" t="s">
        <v>17</v>
      </c>
      <c r="D78" t="s">
        <v>287</v>
      </c>
      <c r="E78">
        <v>3</v>
      </c>
    </row>
    <row r="79" spans="1:5" x14ac:dyDescent="0.25">
      <c r="A79">
        <v>2026</v>
      </c>
      <c r="B79" t="s">
        <v>301</v>
      </c>
      <c r="C79" t="s">
        <v>17</v>
      </c>
      <c r="D79" t="s">
        <v>288</v>
      </c>
      <c r="E79">
        <v>10</v>
      </c>
    </row>
    <row r="80" spans="1:5" x14ac:dyDescent="0.25">
      <c r="A80">
        <v>2026</v>
      </c>
      <c r="B80" t="s">
        <v>301</v>
      </c>
      <c r="C80" t="s">
        <v>17</v>
      </c>
      <c r="D80" t="s">
        <v>289</v>
      </c>
      <c r="E80">
        <v>21</v>
      </c>
    </row>
    <row r="81" spans="1:5" x14ac:dyDescent="0.25">
      <c r="A81">
        <v>2026</v>
      </c>
      <c r="B81" t="s">
        <v>301</v>
      </c>
      <c r="C81" t="s">
        <v>17</v>
      </c>
      <c r="D81" t="s">
        <v>290</v>
      </c>
      <c r="E81">
        <v>8</v>
      </c>
    </row>
    <row r="82" spans="1:5" x14ac:dyDescent="0.25">
      <c r="A82">
        <v>2026</v>
      </c>
      <c r="B82" t="s">
        <v>301</v>
      </c>
      <c r="C82" t="s">
        <v>17</v>
      </c>
      <c r="D82" t="s">
        <v>291</v>
      </c>
      <c r="E82">
        <v>23</v>
      </c>
    </row>
    <row r="83" spans="1:5" x14ac:dyDescent="0.25">
      <c r="A83">
        <v>2026</v>
      </c>
      <c r="B83" t="s">
        <v>301</v>
      </c>
      <c r="C83" t="s">
        <v>17</v>
      </c>
      <c r="D83" t="s">
        <v>292</v>
      </c>
      <c r="E83">
        <v>12</v>
      </c>
    </row>
    <row r="84" spans="1:5" x14ac:dyDescent="0.25">
      <c r="A84">
        <v>2026</v>
      </c>
      <c r="B84" t="s">
        <v>301</v>
      </c>
      <c r="C84" t="s">
        <v>17</v>
      </c>
      <c r="D84" t="s">
        <v>293</v>
      </c>
      <c r="E84">
        <v>28</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2D1A7AC0-CFED-48BB-AAB1-2782D4D39B69}">
          <x14:formula1>
            <xm:f>selection_values!$A$1:$A$8</xm:f>
          </x14:formula1>
          <xm:sqref>C2:C1048576</xm:sqref>
        </x14:dataValidation>
        <x14:dataValidation type="list" allowBlank="1" showInputMessage="1" showErrorMessage="1" xr:uid="{1099AA95-5B0C-474C-9531-A67C600D1660}">
          <x14:formula1>
            <xm:f>seasonTeams!$C$2:$C$9</xm:f>
          </x14:formula1>
          <xm:sqref>B2:B1048576</xm:sqref>
        </x14:dataValidation>
        <x14:dataValidation type="list" allowBlank="1" showInputMessage="1" showErrorMessage="1" xr:uid="{B1D49E52-31C7-4CCF-97BA-7CFD7655DBB3}">
          <x14:formula1>
            <xm:f>players!$A$2:$A$84</xm:f>
          </x14:formula1>
          <xm:sqref>D2:D1048576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5"/>
  <sheetViews>
    <sheetView topLeftCell="A34" zoomScale="80" zoomScaleNormal="80" workbookViewId="0">
      <selection activeCell="A45" sqref="A45:R45"/>
    </sheetView>
  </sheetViews>
  <sheetFormatPr defaultColWidth="24.28515625" defaultRowHeight="15" x14ac:dyDescent="0.25"/>
  <cols>
    <col min="1" max="1" width="12.85546875" bestFit="1" customWidth="1"/>
    <col min="2" max="2" width="13.42578125" bestFit="1" customWidth="1"/>
    <col min="3" max="3" width="15.5703125" bestFit="1" customWidth="1"/>
    <col min="4" max="4" width="9.28515625" bestFit="1" customWidth="1"/>
    <col min="5" max="5" width="11.28515625" style="2" bestFit="1" customWidth="1"/>
    <col min="6" max="6" width="8.5703125" style="3" bestFit="1" customWidth="1"/>
    <col min="7" max="7" width="32.140625" bestFit="1" customWidth="1"/>
    <col min="8" max="9" width="24.28515625" bestFit="1" customWidth="1"/>
    <col min="10" max="10" width="23.42578125" bestFit="1" customWidth="1"/>
    <col min="11" max="11" width="22.7109375" bestFit="1" customWidth="1"/>
    <col min="12" max="12" width="26.5703125" bestFit="1" customWidth="1"/>
    <col min="13" max="13" width="25.7109375" bestFit="1" customWidth="1"/>
    <col min="14" max="14" width="14.85546875" bestFit="1" customWidth="1"/>
    <col min="15" max="15" width="14.28515625" bestFit="1" customWidth="1"/>
    <col min="16" max="16" width="20.140625" bestFit="1" customWidth="1"/>
    <col min="17" max="17" width="11.42578125" bestFit="1" customWidth="1"/>
    <col min="18" max="18" width="14.28515625" bestFit="1" customWidth="1"/>
    <col min="19" max="19" width="23.85546875" style="1" bestFit="1" customWidth="1"/>
    <col min="20" max="20" width="28.5703125" style="1" bestFit="1" customWidth="1"/>
  </cols>
  <sheetData>
    <row r="1" spans="1:20" x14ac:dyDescent="0.25">
      <c r="A1" t="s">
        <v>315</v>
      </c>
      <c r="B1" t="s">
        <v>62</v>
      </c>
      <c r="C1" t="s">
        <v>35</v>
      </c>
      <c r="D1" t="s">
        <v>0</v>
      </c>
      <c r="E1" s="2" t="s">
        <v>1</v>
      </c>
      <c r="F1" s="3" t="s">
        <v>2</v>
      </c>
      <c r="G1" t="s">
        <v>3</v>
      </c>
      <c r="H1" t="s">
        <v>313</v>
      </c>
      <c r="I1" t="s">
        <v>314</v>
      </c>
      <c r="J1" t="s">
        <v>26</v>
      </c>
      <c r="K1" t="s">
        <v>27</v>
      </c>
      <c r="L1" t="s">
        <v>28</v>
      </c>
      <c r="M1" t="s">
        <v>29</v>
      </c>
      <c r="N1" t="s">
        <v>4</v>
      </c>
      <c r="O1" t="s">
        <v>5</v>
      </c>
      <c r="P1" t="s">
        <v>308</v>
      </c>
      <c r="Q1" t="s">
        <v>6</v>
      </c>
      <c r="R1" t="s">
        <v>309</v>
      </c>
      <c r="S1" s="1" t="s">
        <v>7</v>
      </c>
      <c r="T1" s="1" t="s">
        <v>8</v>
      </c>
    </row>
    <row r="2" spans="1:20" ht="165" x14ac:dyDescent="0.25">
      <c r="A2" t="str">
        <f>B2&amp;"-w"&amp;D2&amp;"-g"&amp;TEXT(COUNTIFS($B$2:B2,B2,$D$2:D2,D2),"00")</f>
        <v>2026-w1-g01</v>
      </c>
      <c r="B2">
        <v>2026</v>
      </c>
      <c r="C2" t="s">
        <v>36</v>
      </c>
      <c r="D2">
        <v>1</v>
      </c>
      <c r="E2" s="2">
        <v>46112</v>
      </c>
      <c r="F2" s="3">
        <v>0.77083333333333337</v>
      </c>
      <c r="G2" t="s">
        <v>9</v>
      </c>
      <c r="H2" t="s">
        <v>10</v>
      </c>
      <c r="I2" t="s">
        <v>11</v>
      </c>
      <c r="J2">
        <v>33</v>
      </c>
      <c r="K2">
        <v>19</v>
      </c>
      <c r="L2">
        <v>28</v>
      </c>
      <c r="M2">
        <v>30</v>
      </c>
      <c r="N2">
        <v>61</v>
      </c>
      <c r="O2">
        <v>49</v>
      </c>
      <c r="P2">
        <v>0</v>
      </c>
      <c r="Q2" t="s">
        <v>18</v>
      </c>
      <c r="R2" t="s">
        <v>310</v>
      </c>
      <c r="S2" s="1" t="s">
        <v>22</v>
      </c>
      <c r="T2" s="1" t="s">
        <v>23</v>
      </c>
    </row>
    <row r="3" spans="1:20" ht="135" x14ac:dyDescent="0.25">
      <c r="A3" t="str">
        <f>B3&amp;"-w"&amp;D3&amp;"-g"&amp;TEXT(COUNTIFS($B$2:B3,B3,$D$2:D3,D3),"00")</f>
        <v>2026-w1-g02</v>
      </c>
      <c r="B3">
        <v>2026</v>
      </c>
      <c r="C3" t="s">
        <v>36</v>
      </c>
      <c r="D3">
        <v>1</v>
      </c>
      <c r="E3" s="2">
        <v>46112</v>
      </c>
      <c r="F3" s="3">
        <v>0.8125</v>
      </c>
      <c r="G3" t="s">
        <v>9</v>
      </c>
      <c r="H3" t="s">
        <v>13</v>
      </c>
      <c r="I3" t="s">
        <v>12</v>
      </c>
      <c r="J3">
        <v>34</v>
      </c>
      <c r="K3">
        <v>24</v>
      </c>
      <c r="L3">
        <v>20</v>
      </c>
      <c r="M3">
        <v>32</v>
      </c>
      <c r="N3">
        <v>54</v>
      </c>
      <c r="O3">
        <v>56</v>
      </c>
      <c r="P3">
        <v>0</v>
      </c>
      <c r="Q3" t="s">
        <v>18</v>
      </c>
      <c r="R3" t="s">
        <v>310</v>
      </c>
      <c r="S3" s="1" t="s">
        <v>24</v>
      </c>
      <c r="T3" s="1" t="s">
        <v>25</v>
      </c>
    </row>
    <row r="4" spans="1:20" ht="150" x14ac:dyDescent="0.25">
      <c r="A4" t="str">
        <f>B4&amp;"-w"&amp;D4&amp;"-g"&amp;TEXT(COUNTIFS($B$2:B4,B4,$D$2:D4,D4),"00")</f>
        <v>2026-w2-g01</v>
      </c>
      <c r="B4">
        <v>2026</v>
      </c>
      <c r="C4" t="s">
        <v>36</v>
      </c>
      <c r="D4">
        <v>2</v>
      </c>
      <c r="E4" s="2">
        <v>46125</v>
      </c>
      <c r="F4" s="3">
        <v>0.77083333333333337</v>
      </c>
      <c r="G4" t="s">
        <v>9</v>
      </c>
      <c r="H4" t="s">
        <v>16</v>
      </c>
      <c r="I4" t="s">
        <v>14</v>
      </c>
      <c r="J4">
        <v>18</v>
      </c>
      <c r="K4">
        <v>30</v>
      </c>
      <c r="L4">
        <v>15</v>
      </c>
      <c r="M4">
        <v>18</v>
      </c>
      <c r="N4">
        <v>33</v>
      </c>
      <c r="O4">
        <v>48</v>
      </c>
      <c r="P4">
        <v>0</v>
      </c>
      <c r="Q4" t="s">
        <v>18</v>
      </c>
      <c r="R4" t="s">
        <v>310</v>
      </c>
      <c r="S4" s="1" t="s">
        <v>373</v>
      </c>
      <c r="T4" s="1" t="s">
        <v>374</v>
      </c>
    </row>
    <row r="5" spans="1:20" ht="255" x14ac:dyDescent="0.25">
      <c r="A5" t="str">
        <f>B5&amp;"-w"&amp;D5&amp;"-g"&amp;TEXT(COUNTIFS($B$2:B5,B5,$D$2:D5,D5),"00")</f>
        <v>2026-w2-g02</v>
      </c>
      <c r="B5">
        <v>2026</v>
      </c>
      <c r="C5" t="s">
        <v>36</v>
      </c>
      <c r="D5">
        <v>2</v>
      </c>
      <c r="E5" s="2">
        <v>46125</v>
      </c>
      <c r="F5" s="3">
        <v>0.8125</v>
      </c>
      <c r="G5" t="s">
        <v>9</v>
      </c>
      <c r="H5" t="s">
        <v>17</v>
      </c>
      <c r="I5" t="s">
        <v>12</v>
      </c>
      <c r="N5">
        <v>41</v>
      </c>
      <c r="O5">
        <v>38</v>
      </c>
      <c r="P5">
        <v>0</v>
      </c>
      <c r="Q5" t="s">
        <v>18</v>
      </c>
      <c r="R5" t="s">
        <v>310</v>
      </c>
      <c r="S5" s="1" t="s">
        <v>375</v>
      </c>
      <c r="T5" s="1" t="s">
        <v>376</v>
      </c>
    </row>
    <row r="6" spans="1:20" ht="135" x14ac:dyDescent="0.25">
      <c r="A6" t="str">
        <f>B6&amp;"-w"&amp;D6&amp;"-g"&amp;TEXT(COUNTIFS($B$2:B6,B6,$D$2:D6,D6),"00")</f>
        <v>2026-w2-g03</v>
      </c>
      <c r="B6">
        <v>2026</v>
      </c>
      <c r="C6" t="s">
        <v>36</v>
      </c>
      <c r="D6">
        <v>2</v>
      </c>
      <c r="E6" s="2">
        <v>46125</v>
      </c>
      <c r="F6" s="3">
        <v>0.85416666666666663</v>
      </c>
      <c r="G6" t="s">
        <v>9</v>
      </c>
      <c r="H6" t="s">
        <v>13</v>
      </c>
      <c r="I6" t="s">
        <v>10</v>
      </c>
      <c r="J6">
        <v>19</v>
      </c>
      <c r="K6">
        <v>24</v>
      </c>
      <c r="L6">
        <v>25</v>
      </c>
      <c r="M6">
        <v>30</v>
      </c>
      <c r="N6">
        <v>44</v>
      </c>
      <c r="O6">
        <v>54</v>
      </c>
      <c r="P6">
        <v>0</v>
      </c>
      <c r="Q6" t="s">
        <v>18</v>
      </c>
      <c r="R6" t="s">
        <v>310</v>
      </c>
      <c r="S6" s="1" t="s">
        <v>377</v>
      </c>
      <c r="T6" s="1" t="s">
        <v>378</v>
      </c>
    </row>
    <row r="7" spans="1:20" ht="135" x14ac:dyDescent="0.25">
      <c r="A7" t="str">
        <f>B7&amp;"-w"&amp;D7&amp;"-g"&amp;TEXT(COUNTIFS($B$2:B7,B7,$D$2:D7,D7),"00")</f>
        <v>2026-w2-g04</v>
      </c>
      <c r="B7">
        <v>2026</v>
      </c>
      <c r="C7" t="s">
        <v>36</v>
      </c>
      <c r="D7">
        <v>2</v>
      </c>
      <c r="E7" s="2">
        <v>46126</v>
      </c>
      <c r="F7" s="3">
        <v>0.8125</v>
      </c>
      <c r="G7" t="s">
        <v>9</v>
      </c>
      <c r="H7" t="s">
        <v>15</v>
      </c>
      <c r="I7" t="s">
        <v>16</v>
      </c>
      <c r="N7">
        <v>52</v>
      </c>
      <c r="O7">
        <v>40</v>
      </c>
      <c r="P7">
        <v>0</v>
      </c>
      <c r="Q7" t="s">
        <v>18</v>
      </c>
      <c r="R7" t="s">
        <v>310</v>
      </c>
      <c r="S7" s="1" t="s">
        <v>379</v>
      </c>
      <c r="T7" s="1" t="s">
        <v>380</v>
      </c>
    </row>
    <row r="8" spans="1:20" ht="135" x14ac:dyDescent="0.25">
      <c r="A8" t="str">
        <f>B8&amp;"-w"&amp;D8&amp;"-g"&amp;TEXT(COUNTIFS($B$2:B8,B8,$D$2:D8,D8),"00")</f>
        <v>2026-w2-g05</v>
      </c>
      <c r="B8">
        <v>2026</v>
      </c>
      <c r="C8" t="s">
        <v>36</v>
      </c>
      <c r="D8">
        <v>2</v>
      </c>
      <c r="E8" s="2">
        <v>46126</v>
      </c>
      <c r="F8" s="3">
        <v>0.85416666666666663</v>
      </c>
      <c r="G8" t="s">
        <v>9</v>
      </c>
      <c r="H8" t="s">
        <v>11</v>
      </c>
      <c r="I8" t="s">
        <v>17</v>
      </c>
      <c r="N8">
        <v>70</v>
      </c>
      <c r="O8">
        <v>39</v>
      </c>
      <c r="P8">
        <v>0</v>
      </c>
      <c r="Q8" t="s">
        <v>18</v>
      </c>
      <c r="R8" t="s">
        <v>310</v>
      </c>
      <c r="S8" s="1" t="s">
        <v>381</v>
      </c>
      <c r="T8" s="1" t="s">
        <v>382</v>
      </c>
    </row>
    <row r="9" spans="1:20" ht="225" x14ac:dyDescent="0.25">
      <c r="A9" t="str">
        <f>B9&amp;"-w"&amp;D9&amp;"-g"&amp;TEXT(COUNTIFS($B$2:B9,B9,$D$2:D9,D9),"00")</f>
        <v>2026-w2-g06</v>
      </c>
      <c r="B9">
        <v>2026</v>
      </c>
      <c r="C9" t="s">
        <v>36</v>
      </c>
      <c r="D9">
        <v>2</v>
      </c>
      <c r="E9" s="2">
        <v>46128</v>
      </c>
      <c r="F9" s="3">
        <v>0.77083333333333337</v>
      </c>
      <c r="G9" t="s">
        <v>9</v>
      </c>
      <c r="H9" t="s">
        <v>14</v>
      </c>
      <c r="I9" t="s">
        <v>11</v>
      </c>
      <c r="J9">
        <v>20</v>
      </c>
      <c r="K9">
        <v>20</v>
      </c>
      <c r="L9">
        <v>29</v>
      </c>
      <c r="M9">
        <v>12</v>
      </c>
      <c r="N9">
        <v>49</v>
      </c>
      <c r="O9">
        <v>32</v>
      </c>
      <c r="P9">
        <v>0</v>
      </c>
      <c r="Q9" t="s">
        <v>18</v>
      </c>
      <c r="R9" t="s">
        <v>310</v>
      </c>
      <c r="S9" s="1" t="s">
        <v>383</v>
      </c>
      <c r="T9" s="1" t="s">
        <v>384</v>
      </c>
    </row>
    <row r="10" spans="1:20" ht="180" x14ac:dyDescent="0.25">
      <c r="A10" t="str">
        <f>B10&amp;"-w"&amp;D10&amp;"-g"&amp;TEXT(COUNTIFS($B$2:B10,B10,$D$2:D10,D10),"00")</f>
        <v>2026-w2-g07</v>
      </c>
      <c r="B10">
        <v>2026</v>
      </c>
      <c r="C10" t="s">
        <v>36</v>
      </c>
      <c r="D10">
        <v>2</v>
      </c>
      <c r="E10" s="2">
        <v>46128</v>
      </c>
      <c r="F10" s="3">
        <v>0.8125</v>
      </c>
      <c r="G10" t="s">
        <v>9</v>
      </c>
      <c r="H10" t="s">
        <v>10</v>
      </c>
      <c r="I10" t="s">
        <v>12</v>
      </c>
      <c r="J10">
        <v>26</v>
      </c>
      <c r="K10">
        <v>19</v>
      </c>
      <c r="L10">
        <v>19</v>
      </c>
      <c r="M10">
        <v>34</v>
      </c>
      <c r="N10">
        <v>45</v>
      </c>
      <c r="O10">
        <v>53</v>
      </c>
      <c r="P10">
        <v>0</v>
      </c>
      <c r="Q10" t="s">
        <v>18</v>
      </c>
      <c r="R10" t="s">
        <v>310</v>
      </c>
      <c r="S10" s="1" t="s">
        <v>385</v>
      </c>
      <c r="T10" s="1" t="s">
        <v>386</v>
      </c>
    </row>
    <row r="11" spans="1:20" ht="135" x14ac:dyDescent="0.25">
      <c r="A11" t="str">
        <f>B11&amp;"-w"&amp;D11&amp;"-g"&amp;TEXT(COUNTIFS($B$2:B11,B11,$D$2:D11,D11),"00")</f>
        <v>2026-w2-g08</v>
      </c>
      <c r="B11">
        <v>2026</v>
      </c>
      <c r="C11" t="s">
        <v>36</v>
      </c>
      <c r="D11">
        <v>2</v>
      </c>
      <c r="E11" s="2">
        <v>46128</v>
      </c>
      <c r="F11" s="3">
        <v>0.85416666666666663</v>
      </c>
      <c r="G11" t="s">
        <v>9</v>
      </c>
      <c r="H11" t="s">
        <v>15</v>
      </c>
      <c r="I11" t="s">
        <v>13</v>
      </c>
      <c r="J11">
        <v>20</v>
      </c>
      <c r="K11">
        <v>34</v>
      </c>
      <c r="L11">
        <v>36</v>
      </c>
      <c r="M11">
        <v>35</v>
      </c>
      <c r="N11">
        <v>56</v>
      </c>
      <c r="O11">
        <v>69</v>
      </c>
      <c r="P11">
        <v>0</v>
      </c>
      <c r="Q11" t="s">
        <v>18</v>
      </c>
      <c r="R11" t="s">
        <v>310</v>
      </c>
      <c r="S11" s="1" t="s">
        <v>387</v>
      </c>
      <c r="T11" s="1" t="s">
        <v>388</v>
      </c>
    </row>
    <row r="12" spans="1:20" ht="120" x14ac:dyDescent="0.25">
      <c r="A12" t="str">
        <f>B12&amp;"-w"&amp;D12&amp;"-g"&amp;TEXT(COUNTIFS($B$2:B12,B12,$D$2:D12,D12),"00")</f>
        <v>2026-w3-g01</v>
      </c>
      <c r="B12">
        <v>2026</v>
      </c>
      <c r="C12" t="s">
        <v>36</v>
      </c>
      <c r="D12">
        <v>3</v>
      </c>
      <c r="E12" s="2">
        <v>46132</v>
      </c>
      <c r="F12" s="3">
        <v>0.77083333333333337</v>
      </c>
      <c r="G12" t="s">
        <v>9</v>
      </c>
      <c r="H12" t="s">
        <v>14</v>
      </c>
      <c r="I12" t="s">
        <v>17</v>
      </c>
      <c r="J12">
        <v>29</v>
      </c>
      <c r="K12">
        <v>10</v>
      </c>
      <c r="L12">
        <v>32</v>
      </c>
      <c r="M12">
        <v>22</v>
      </c>
      <c r="N12">
        <v>61</v>
      </c>
      <c r="O12">
        <v>32</v>
      </c>
      <c r="P12">
        <v>0</v>
      </c>
      <c r="Q12" t="s">
        <v>18</v>
      </c>
      <c r="R12" t="s">
        <v>310</v>
      </c>
      <c r="S12" s="1" t="s">
        <v>389</v>
      </c>
      <c r="T12" s="1" t="s">
        <v>390</v>
      </c>
    </row>
    <row r="13" spans="1:20" ht="165" x14ac:dyDescent="0.25">
      <c r="A13" t="str">
        <f>B13&amp;"-w"&amp;D13&amp;"-g"&amp;TEXT(COUNTIFS($B$2:B13,B13,$D$2:D13,D13),"00")</f>
        <v>2026-w3-g02</v>
      </c>
      <c r="B13">
        <v>2026</v>
      </c>
      <c r="C13" t="s">
        <v>36</v>
      </c>
      <c r="D13">
        <v>3</v>
      </c>
      <c r="E13" s="2">
        <v>46132</v>
      </c>
      <c r="F13" s="3">
        <v>0.8125</v>
      </c>
      <c r="G13" t="s">
        <v>9</v>
      </c>
      <c r="H13" t="s">
        <v>16</v>
      </c>
      <c r="I13" t="s">
        <v>15</v>
      </c>
      <c r="J13">
        <v>19</v>
      </c>
      <c r="K13">
        <v>23</v>
      </c>
      <c r="L13">
        <v>23</v>
      </c>
      <c r="M13">
        <v>37</v>
      </c>
      <c r="N13">
        <v>42</v>
      </c>
      <c r="O13">
        <v>60</v>
      </c>
      <c r="P13">
        <v>0</v>
      </c>
      <c r="Q13" t="s">
        <v>18</v>
      </c>
      <c r="R13" t="s">
        <v>310</v>
      </c>
      <c r="S13" s="1" t="s">
        <v>391</v>
      </c>
      <c r="T13" s="1" t="s">
        <v>392</v>
      </c>
    </row>
    <row r="14" spans="1:20" ht="120" x14ac:dyDescent="0.25">
      <c r="A14" t="str">
        <f>B14&amp;"-w"&amp;D14&amp;"-g"&amp;TEXT(COUNTIFS($B$2:B14,B14,$D$2:D14,D14),"00")</f>
        <v>2026-w3-g03</v>
      </c>
      <c r="B14">
        <v>2026</v>
      </c>
      <c r="C14" t="s">
        <v>36</v>
      </c>
      <c r="D14">
        <v>3</v>
      </c>
      <c r="E14" s="2">
        <v>46134</v>
      </c>
      <c r="F14" s="3">
        <v>0.77083333333333337</v>
      </c>
      <c r="G14" t="s">
        <v>9</v>
      </c>
      <c r="H14" t="s">
        <v>11</v>
      </c>
      <c r="I14" t="s">
        <v>13</v>
      </c>
      <c r="N14">
        <v>65</v>
      </c>
      <c r="O14">
        <v>55</v>
      </c>
      <c r="P14">
        <v>0</v>
      </c>
      <c r="Q14" t="s">
        <v>18</v>
      </c>
      <c r="R14" t="s">
        <v>310</v>
      </c>
      <c r="S14" s="1" t="s">
        <v>393</v>
      </c>
      <c r="T14" s="1" t="s">
        <v>394</v>
      </c>
    </row>
    <row r="15" spans="1:20" ht="165" x14ac:dyDescent="0.25">
      <c r="A15" t="str">
        <f>B15&amp;"-w"&amp;D15&amp;"-g"&amp;TEXT(COUNTIFS($B$2:B15,B15,$D$2:D15,D15),"00")</f>
        <v>2026-w3-g04</v>
      </c>
      <c r="B15">
        <v>2026</v>
      </c>
      <c r="C15" t="s">
        <v>36</v>
      </c>
      <c r="D15">
        <v>3</v>
      </c>
      <c r="E15" s="2">
        <v>46134</v>
      </c>
      <c r="F15" s="3">
        <v>0.8125</v>
      </c>
      <c r="G15" t="s">
        <v>9</v>
      </c>
      <c r="H15" t="s">
        <v>17</v>
      </c>
      <c r="I15" t="s">
        <v>10</v>
      </c>
      <c r="N15">
        <v>41</v>
      </c>
      <c r="O15">
        <v>90</v>
      </c>
      <c r="P15">
        <v>0</v>
      </c>
      <c r="Q15" t="s">
        <v>18</v>
      </c>
      <c r="R15" t="s">
        <v>310</v>
      </c>
      <c r="S15" s="1" t="s">
        <v>398</v>
      </c>
      <c r="T15" s="1" t="s">
        <v>399</v>
      </c>
    </row>
    <row r="16" spans="1:20" ht="120" x14ac:dyDescent="0.25">
      <c r="A16" t="str">
        <f>B16&amp;"-w"&amp;D16&amp;"-g"&amp;TEXT(COUNTIFS($B$2:B16,B16,$D$2:D16,D16),"00")</f>
        <v>2026-w3-g05</v>
      </c>
      <c r="B16">
        <v>2026</v>
      </c>
      <c r="C16" t="s">
        <v>36</v>
      </c>
      <c r="D16">
        <v>3</v>
      </c>
      <c r="E16" s="2">
        <v>46134</v>
      </c>
      <c r="F16" s="3">
        <v>0.85416666666666663</v>
      </c>
      <c r="G16" t="s">
        <v>9</v>
      </c>
      <c r="H16" t="s">
        <v>15</v>
      </c>
      <c r="I16" t="s">
        <v>12</v>
      </c>
      <c r="N16">
        <v>64</v>
      </c>
      <c r="O16">
        <v>48</v>
      </c>
      <c r="P16">
        <v>0</v>
      </c>
      <c r="Q16" t="s">
        <v>18</v>
      </c>
      <c r="R16" t="s">
        <v>310</v>
      </c>
      <c r="S16" s="1" t="s">
        <v>400</v>
      </c>
      <c r="T16" s="1" t="s">
        <v>401</v>
      </c>
    </row>
    <row r="17" spans="1:20" ht="150" x14ac:dyDescent="0.25">
      <c r="A17" t="str">
        <f>B17&amp;"-w"&amp;D17&amp;"-g"&amp;TEXT(COUNTIFS($B$2:B17,B17,$D$2:D17,D17),"00")</f>
        <v>2026-w3-g06</v>
      </c>
      <c r="B17">
        <v>2026</v>
      </c>
      <c r="C17" t="s">
        <v>36</v>
      </c>
      <c r="D17">
        <v>3</v>
      </c>
      <c r="E17" s="2">
        <v>46135</v>
      </c>
      <c r="F17" s="3">
        <v>0.8125</v>
      </c>
      <c r="G17" t="s">
        <v>9</v>
      </c>
      <c r="H17" t="s">
        <v>12</v>
      </c>
      <c r="I17" t="s">
        <v>11</v>
      </c>
      <c r="J17">
        <v>15</v>
      </c>
      <c r="K17">
        <v>34</v>
      </c>
      <c r="L17">
        <v>13</v>
      </c>
      <c r="M17">
        <v>32</v>
      </c>
      <c r="N17">
        <v>28</v>
      </c>
      <c r="O17">
        <v>66</v>
      </c>
      <c r="P17">
        <v>0</v>
      </c>
      <c r="Q17" t="s">
        <v>18</v>
      </c>
      <c r="R17" t="s">
        <v>310</v>
      </c>
      <c r="S17" s="1" t="s">
        <v>402</v>
      </c>
      <c r="T17" s="1" t="s">
        <v>403</v>
      </c>
    </row>
    <row r="18" spans="1:20" ht="135" x14ac:dyDescent="0.25">
      <c r="A18" t="str">
        <f>B18&amp;"-w"&amp;D18&amp;"-g"&amp;TEXT(COUNTIFS($B$2:B18,B18,$D$2:D18,D18),"00")</f>
        <v>2026-w3-g07</v>
      </c>
      <c r="B18">
        <v>2026</v>
      </c>
      <c r="C18" t="s">
        <v>36</v>
      </c>
      <c r="D18">
        <v>3</v>
      </c>
      <c r="E18" s="2">
        <v>46135</v>
      </c>
      <c r="F18" s="3">
        <v>0.85416666666666663</v>
      </c>
      <c r="G18" t="s">
        <v>9</v>
      </c>
      <c r="H18" t="s">
        <v>14</v>
      </c>
      <c r="I18" t="s">
        <v>16</v>
      </c>
      <c r="J18">
        <v>29</v>
      </c>
      <c r="K18">
        <v>20</v>
      </c>
      <c r="L18">
        <v>25</v>
      </c>
      <c r="M18">
        <v>25</v>
      </c>
      <c r="N18">
        <v>54</v>
      </c>
      <c r="O18">
        <v>45</v>
      </c>
      <c r="P18">
        <v>0</v>
      </c>
      <c r="Q18" t="s">
        <v>18</v>
      </c>
      <c r="R18" t="s">
        <v>310</v>
      </c>
      <c r="S18" s="1" t="s">
        <v>404</v>
      </c>
      <c r="T18" s="1" t="s">
        <v>405</v>
      </c>
    </row>
    <row r="19" spans="1:20" ht="90" x14ac:dyDescent="0.25">
      <c r="A19" t="str">
        <f>B19&amp;"-w"&amp;D19&amp;"-g"&amp;TEXT(COUNTIFS($B$2:B19,B19,$D$2:D19,D19),"00")</f>
        <v>2026-w4-g01</v>
      </c>
      <c r="B19">
        <v>2026</v>
      </c>
      <c r="C19" t="s">
        <v>36</v>
      </c>
      <c r="D19">
        <v>4</v>
      </c>
      <c r="E19" s="2">
        <v>46140</v>
      </c>
      <c r="F19" s="3">
        <v>0.77083333333333337</v>
      </c>
      <c r="G19" t="s">
        <v>9</v>
      </c>
      <c r="H19" t="s">
        <v>15</v>
      </c>
      <c r="I19" t="s">
        <v>17</v>
      </c>
      <c r="N19">
        <v>83</v>
      </c>
      <c r="O19">
        <v>55</v>
      </c>
      <c r="P19">
        <v>0</v>
      </c>
      <c r="Q19" t="s">
        <v>18</v>
      </c>
      <c r="R19" t="s">
        <v>310</v>
      </c>
      <c r="S19" s="1" t="s">
        <v>406</v>
      </c>
      <c r="T19" s="1" t="s">
        <v>407</v>
      </c>
    </row>
    <row r="20" spans="1:20" ht="180" x14ac:dyDescent="0.25">
      <c r="A20" t="str">
        <f>B20&amp;"-w"&amp;D20&amp;"-g"&amp;TEXT(COUNTIFS($B$2:B20,B20,$D$2:D20,D20),"00")</f>
        <v>2026-w4-g02</v>
      </c>
      <c r="B20">
        <v>2026</v>
      </c>
      <c r="C20" t="s">
        <v>36</v>
      </c>
      <c r="D20">
        <v>4</v>
      </c>
      <c r="E20" s="2">
        <v>46140</v>
      </c>
      <c r="F20" s="3">
        <v>0.8125</v>
      </c>
      <c r="G20" t="s">
        <v>9</v>
      </c>
      <c r="H20" t="s">
        <v>13</v>
      </c>
      <c r="I20" t="s">
        <v>16</v>
      </c>
      <c r="N20">
        <v>45</v>
      </c>
      <c r="O20">
        <v>48</v>
      </c>
      <c r="P20">
        <v>0</v>
      </c>
      <c r="Q20" t="s">
        <v>18</v>
      </c>
      <c r="R20" t="s">
        <v>310</v>
      </c>
      <c r="S20" s="1" t="s">
        <v>409</v>
      </c>
      <c r="T20" s="1" t="s">
        <v>408</v>
      </c>
    </row>
    <row r="21" spans="1:20" ht="135" x14ac:dyDescent="0.25">
      <c r="A21" t="str">
        <f>B21&amp;"-w"&amp;D21&amp;"-g"&amp;TEXT(COUNTIFS($B$2:B21,B21,$D$2:D21,D21),"00")</f>
        <v>2026-w4-g03</v>
      </c>
      <c r="B21">
        <v>2026</v>
      </c>
      <c r="C21" t="s">
        <v>36</v>
      </c>
      <c r="D21">
        <v>4</v>
      </c>
      <c r="E21" s="2">
        <v>46140</v>
      </c>
      <c r="F21" s="3">
        <v>0.85416666666666663</v>
      </c>
      <c r="G21" t="s">
        <v>9</v>
      </c>
      <c r="H21" t="s">
        <v>10</v>
      </c>
      <c r="I21" t="s">
        <v>14</v>
      </c>
      <c r="J21">
        <v>26</v>
      </c>
      <c r="K21">
        <v>15</v>
      </c>
      <c r="L21">
        <v>24</v>
      </c>
      <c r="M21">
        <v>10</v>
      </c>
      <c r="N21">
        <v>50</v>
      </c>
      <c r="O21">
        <v>25</v>
      </c>
      <c r="P21">
        <v>0</v>
      </c>
      <c r="Q21" t="s">
        <v>18</v>
      </c>
      <c r="R21" t="s">
        <v>310</v>
      </c>
      <c r="S21" s="1" t="s">
        <v>410</v>
      </c>
      <c r="T21" s="1" t="s">
        <v>411</v>
      </c>
    </row>
    <row r="22" spans="1:20" ht="195" x14ac:dyDescent="0.25">
      <c r="A22" t="str">
        <f>B22&amp;"-w"&amp;D22&amp;"-g"&amp;TEXT(COUNTIFS($B$2:B22,B22,$D$2:D22,D22),"00")</f>
        <v>2026-w4-g04</v>
      </c>
      <c r="B22">
        <v>2026</v>
      </c>
      <c r="C22" t="s">
        <v>36</v>
      </c>
      <c r="D22">
        <v>4</v>
      </c>
      <c r="E22" s="2">
        <v>46141</v>
      </c>
      <c r="F22" s="3">
        <v>0.77083333333333337</v>
      </c>
      <c r="G22" t="s">
        <v>9</v>
      </c>
      <c r="H22" t="s">
        <v>11</v>
      </c>
      <c r="I22" t="s">
        <v>16</v>
      </c>
      <c r="J22">
        <v>32</v>
      </c>
      <c r="K22">
        <v>32</v>
      </c>
      <c r="L22">
        <v>27</v>
      </c>
      <c r="M22">
        <v>16</v>
      </c>
      <c r="N22">
        <v>59</v>
      </c>
      <c r="O22">
        <v>48</v>
      </c>
      <c r="P22">
        <v>0</v>
      </c>
      <c r="Q22" t="s">
        <v>18</v>
      </c>
      <c r="R22" t="s">
        <v>310</v>
      </c>
      <c r="S22" s="1" t="s">
        <v>412</v>
      </c>
      <c r="T22" s="1" t="s">
        <v>413</v>
      </c>
    </row>
    <row r="23" spans="1:20" ht="105" x14ac:dyDescent="0.25">
      <c r="A23" t="str">
        <f>B23&amp;"-w"&amp;D23&amp;"-g"&amp;TEXT(COUNTIFS($B$2:B23,B23,$D$2:D23,D23),"00")</f>
        <v>2026-w4-g05</v>
      </c>
      <c r="B23">
        <v>2026</v>
      </c>
      <c r="C23" t="s">
        <v>36</v>
      </c>
      <c r="D23">
        <v>4</v>
      </c>
      <c r="E23" s="2">
        <v>46141</v>
      </c>
      <c r="F23" s="3">
        <v>0.8125</v>
      </c>
      <c r="G23" t="s">
        <v>9</v>
      </c>
      <c r="H23" t="s">
        <v>14</v>
      </c>
      <c r="I23" t="s">
        <v>15</v>
      </c>
      <c r="J23">
        <v>31</v>
      </c>
      <c r="K23">
        <v>26</v>
      </c>
      <c r="L23">
        <v>22</v>
      </c>
      <c r="M23">
        <v>27</v>
      </c>
      <c r="N23">
        <v>53</v>
      </c>
      <c r="O23">
        <v>62</v>
      </c>
      <c r="P23">
        <v>1</v>
      </c>
      <c r="Q23" t="s">
        <v>18</v>
      </c>
      <c r="R23" t="s">
        <v>310</v>
      </c>
      <c r="S23" s="1" t="s">
        <v>414</v>
      </c>
      <c r="T23" s="1" t="s">
        <v>415</v>
      </c>
    </row>
    <row r="24" spans="1:20" ht="135" x14ac:dyDescent="0.25">
      <c r="A24" t="str">
        <f>B24&amp;"-w"&amp;D24&amp;"-g"&amp;TEXT(COUNTIFS($B$2:B24,B24,$D$2:D24,D24),"00")</f>
        <v>2026-w5-g01</v>
      </c>
      <c r="B24">
        <v>2026</v>
      </c>
      <c r="C24" t="s">
        <v>36</v>
      </c>
      <c r="D24">
        <v>5</v>
      </c>
      <c r="E24" s="2">
        <v>46146</v>
      </c>
      <c r="F24" s="3">
        <v>0.8125</v>
      </c>
      <c r="G24" t="s">
        <v>9</v>
      </c>
      <c r="H24" t="s">
        <v>17</v>
      </c>
      <c r="I24" t="s">
        <v>10</v>
      </c>
      <c r="J24">
        <v>19</v>
      </c>
      <c r="K24">
        <v>41</v>
      </c>
      <c r="L24">
        <v>17</v>
      </c>
      <c r="M24">
        <v>49</v>
      </c>
      <c r="N24">
        <v>36</v>
      </c>
      <c r="O24">
        <v>90</v>
      </c>
      <c r="P24">
        <v>0</v>
      </c>
      <c r="Q24" t="s">
        <v>18</v>
      </c>
      <c r="R24" t="s">
        <v>310</v>
      </c>
      <c r="S24" s="1" t="s">
        <v>397</v>
      </c>
      <c r="T24" s="1" t="s">
        <v>416</v>
      </c>
    </row>
    <row r="25" spans="1:20" ht="165" x14ac:dyDescent="0.25">
      <c r="A25" t="str">
        <f>B25&amp;"-w"&amp;D25&amp;"-g"&amp;TEXT(COUNTIFS($B$2:B25,B25,$D$2:D25,D25),"00")</f>
        <v>2026-w5-g02</v>
      </c>
      <c r="B25">
        <v>2026</v>
      </c>
      <c r="C25" t="s">
        <v>36</v>
      </c>
      <c r="D25">
        <v>5</v>
      </c>
      <c r="E25" s="2">
        <v>46146</v>
      </c>
      <c r="F25" s="3">
        <v>0.85416666666666663</v>
      </c>
      <c r="G25" t="s">
        <v>9</v>
      </c>
      <c r="H25" t="s">
        <v>12</v>
      </c>
      <c r="I25" t="s">
        <v>13</v>
      </c>
      <c r="J25">
        <v>23</v>
      </c>
      <c r="K25">
        <v>42</v>
      </c>
      <c r="L25">
        <v>29</v>
      </c>
      <c r="M25">
        <v>19</v>
      </c>
      <c r="N25">
        <v>52</v>
      </c>
      <c r="O25">
        <v>61</v>
      </c>
      <c r="P25">
        <v>0</v>
      </c>
      <c r="Q25" t="s">
        <v>18</v>
      </c>
      <c r="R25" t="s">
        <v>310</v>
      </c>
      <c r="S25" s="1" t="s">
        <v>417</v>
      </c>
      <c r="T25" s="1" t="s">
        <v>418</v>
      </c>
    </row>
    <row r="26" spans="1:20" ht="135" x14ac:dyDescent="0.25">
      <c r="A26" t="str">
        <f>B26&amp;"-w"&amp;D26&amp;"-g"&amp;TEXT(COUNTIFS($B$2:B26,B26,$D$2:D26,D26),"00")</f>
        <v>2026-w5-g03</v>
      </c>
      <c r="B26">
        <v>2026</v>
      </c>
      <c r="C26" t="s">
        <v>36</v>
      </c>
      <c r="D26">
        <v>5</v>
      </c>
      <c r="E26" s="2">
        <v>46147</v>
      </c>
      <c r="F26" s="3">
        <v>0.77083333333333337</v>
      </c>
      <c r="G26" t="s">
        <v>9</v>
      </c>
      <c r="H26" t="s">
        <v>10</v>
      </c>
      <c r="I26" t="s">
        <v>12</v>
      </c>
      <c r="J26">
        <v>34</v>
      </c>
      <c r="K26">
        <v>17</v>
      </c>
      <c r="L26">
        <v>24</v>
      </c>
      <c r="M26">
        <v>25</v>
      </c>
      <c r="N26">
        <v>58</v>
      </c>
      <c r="O26">
        <v>42</v>
      </c>
      <c r="P26">
        <v>0</v>
      </c>
      <c r="Q26" t="s">
        <v>18</v>
      </c>
      <c r="R26" t="s">
        <v>310</v>
      </c>
      <c r="S26" s="1" t="s">
        <v>419</v>
      </c>
      <c r="T26" s="1" t="s">
        <v>420</v>
      </c>
    </row>
    <row r="27" spans="1:20" ht="120" x14ac:dyDescent="0.25">
      <c r="A27" t="str">
        <f>B27&amp;"-w"&amp;D27&amp;"-g"&amp;TEXT(COUNTIFS($B$2:B27,B27,$D$2:D27,D27),"00")</f>
        <v>2026-w5-g04</v>
      </c>
      <c r="B27">
        <v>2026</v>
      </c>
      <c r="C27" t="s">
        <v>36</v>
      </c>
      <c r="D27">
        <v>5</v>
      </c>
      <c r="E27" s="2">
        <v>46147</v>
      </c>
      <c r="F27" s="3">
        <v>0.8125</v>
      </c>
      <c r="G27" t="s">
        <v>9</v>
      </c>
      <c r="H27" t="s">
        <v>14</v>
      </c>
      <c r="I27" t="s">
        <v>13</v>
      </c>
      <c r="N27">
        <v>20</v>
      </c>
      <c r="O27">
        <v>60</v>
      </c>
      <c r="P27">
        <v>0</v>
      </c>
      <c r="Q27" t="s">
        <v>18</v>
      </c>
      <c r="R27" t="s">
        <v>311</v>
      </c>
      <c r="S27" s="1" t="s">
        <v>421</v>
      </c>
      <c r="T27" s="1" t="s">
        <v>423</v>
      </c>
    </row>
    <row r="28" spans="1:20" ht="105" x14ac:dyDescent="0.25">
      <c r="A28" t="str">
        <f>B28&amp;"-w"&amp;D28&amp;"-g"&amp;TEXT(COUNTIFS($B$2:B28,B28,$D$2:D28,D28),"00")</f>
        <v>2026-w5-g05</v>
      </c>
      <c r="B28">
        <v>2026</v>
      </c>
      <c r="C28" t="s">
        <v>36</v>
      </c>
      <c r="D28">
        <v>5</v>
      </c>
      <c r="E28" s="2">
        <v>46147</v>
      </c>
      <c r="F28" s="3">
        <v>0.85416666666666663</v>
      </c>
      <c r="G28" t="s">
        <v>9</v>
      </c>
      <c r="H28" t="s">
        <v>11</v>
      </c>
      <c r="I28" t="s">
        <v>15</v>
      </c>
      <c r="J28">
        <v>31</v>
      </c>
      <c r="K28">
        <v>29</v>
      </c>
      <c r="L28">
        <v>41</v>
      </c>
      <c r="M28">
        <v>31</v>
      </c>
      <c r="N28">
        <v>72</v>
      </c>
      <c r="O28">
        <v>60</v>
      </c>
      <c r="P28">
        <v>0</v>
      </c>
      <c r="Q28" t="s">
        <v>18</v>
      </c>
      <c r="R28" t="s">
        <v>310</v>
      </c>
      <c r="S28" s="1" t="s">
        <v>425</v>
      </c>
      <c r="T28" s="1" t="s">
        <v>426</v>
      </c>
    </row>
    <row r="29" spans="1:20" ht="120" x14ac:dyDescent="0.25">
      <c r="A29" t="str">
        <f>B29&amp;"-w"&amp;D29&amp;"-g"&amp;TEXT(COUNTIFS($B$2:B29,B29,$D$2:D29,D29),"00")</f>
        <v>2026-w6-g01</v>
      </c>
      <c r="B29">
        <v>2026</v>
      </c>
      <c r="C29" t="s">
        <v>36</v>
      </c>
      <c r="D29">
        <v>6</v>
      </c>
      <c r="E29" s="2">
        <v>46153</v>
      </c>
      <c r="F29" s="3">
        <v>0.77083333333333337</v>
      </c>
      <c r="G29" t="s">
        <v>9</v>
      </c>
      <c r="H29" t="s">
        <v>17</v>
      </c>
      <c r="I29" t="s">
        <v>13</v>
      </c>
      <c r="J29">
        <v>15</v>
      </c>
      <c r="K29">
        <v>36</v>
      </c>
      <c r="L29">
        <v>5</v>
      </c>
      <c r="M29">
        <v>35</v>
      </c>
      <c r="N29">
        <v>20</v>
      </c>
      <c r="O29">
        <v>71</v>
      </c>
      <c r="P29">
        <v>0</v>
      </c>
      <c r="Q29" t="s">
        <v>18</v>
      </c>
      <c r="R29" t="s">
        <v>310</v>
      </c>
      <c r="S29" s="1" t="s">
        <v>427</v>
      </c>
      <c r="T29" s="1" t="s">
        <v>428</v>
      </c>
    </row>
    <row r="30" spans="1:20" ht="150" x14ac:dyDescent="0.25">
      <c r="A30" t="str">
        <f>B30&amp;"-w"&amp;D30&amp;"-g"&amp;TEXT(COUNTIFS($B$2:B30,B30,$D$2:D30,D30),"00")</f>
        <v>2026-w6-g02</v>
      </c>
      <c r="B30">
        <v>2026</v>
      </c>
      <c r="C30" t="s">
        <v>36</v>
      </c>
      <c r="D30">
        <v>6</v>
      </c>
      <c r="E30" s="2">
        <v>46153</v>
      </c>
      <c r="F30" s="3">
        <v>0.8125</v>
      </c>
      <c r="G30" t="s">
        <v>9</v>
      </c>
      <c r="H30" t="s">
        <v>16</v>
      </c>
      <c r="I30" t="s">
        <v>10</v>
      </c>
      <c r="J30">
        <v>18</v>
      </c>
      <c r="K30">
        <v>46</v>
      </c>
      <c r="L30">
        <v>30</v>
      </c>
      <c r="M30">
        <v>30</v>
      </c>
      <c r="N30">
        <v>48</v>
      </c>
      <c r="O30">
        <v>76</v>
      </c>
      <c r="P30">
        <v>0</v>
      </c>
      <c r="Q30" t="s">
        <v>18</v>
      </c>
      <c r="R30" t="s">
        <v>310</v>
      </c>
      <c r="S30" s="1" t="s">
        <v>429</v>
      </c>
      <c r="T30" s="1" t="s">
        <v>430</v>
      </c>
    </row>
    <row r="31" spans="1:20" ht="150" x14ac:dyDescent="0.25">
      <c r="A31" t="str">
        <f>B31&amp;"-w"&amp;D31&amp;"-g"&amp;TEXT(COUNTIFS($B$2:B31,B31,$D$2:D31,D31),"00")</f>
        <v>2026-w6-g03</v>
      </c>
      <c r="B31">
        <v>2026</v>
      </c>
      <c r="C31" t="s">
        <v>36</v>
      </c>
      <c r="D31">
        <v>6</v>
      </c>
      <c r="E31" s="2">
        <v>46154</v>
      </c>
      <c r="F31" s="3">
        <v>0.77083333333333337</v>
      </c>
      <c r="G31" t="s">
        <v>9</v>
      </c>
      <c r="H31" t="s">
        <v>11</v>
      </c>
      <c r="I31" t="s">
        <v>14</v>
      </c>
      <c r="J31">
        <v>27</v>
      </c>
      <c r="K31">
        <v>30</v>
      </c>
      <c r="L31">
        <v>40</v>
      </c>
      <c r="M31">
        <v>34</v>
      </c>
      <c r="N31">
        <v>67</v>
      </c>
      <c r="O31">
        <v>64</v>
      </c>
      <c r="P31">
        <v>0</v>
      </c>
      <c r="Q31" t="s">
        <v>18</v>
      </c>
      <c r="R31" t="s">
        <v>310</v>
      </c>
      <c r="S31" s="1" t="s">
        <v>371</v>
      </c>
      <c r="T31" s="1" t="s">
        <v>372</v>
      </c>
    </row>
    <row r="32" spans="1:20" ht="195" x14ac:dyDescent="0.25">
      <c r="A32" t="str">
        <f>B32&amp;"-w"&amp;D32&amp;"-g"&amp;TEXT(COUNTIFS($B$2:B32,B32,$D$2:D32,D32),"00")</f>
        <v>2026-w6-g04</v>
      </c>
      <c r="B32">
        <v>2026</v>
      </c>
      <c r="C32" t="s">
        <v>36</v>
      </c>
      <c r="D32">
        <v>6</v>
      </c>
      <c r="E32" s="2">
        <v>46154</v>
      </c>
      <c r="F32" s="3">
        <v>0.8125</v>
      </c>
      <c r="G32" t="s">
        <v>9</v>
      </c>
      <c r="H32" t="s">
        <v>12</v>
      </c>
      <c r="I32" t="s">
        <v>15</v>
      </c>
      <c r="N32">
        <v>50</v>
      </c>
      <c r="O32">
        <v>82</v>
      </c>
      <c r="P32">
        <v>0</v>
      </c>
      <c r="Q32" t="s">
        <v>18</v>
      </c>
      <c r="R32" t="s">
        <v>310</v>
      </c>
      <c r="S32" s="1" t="s">
        <v>431</v>
      </c>
      <c r="T32" s="1" t="s">
        <v>432</v>
      </c>
    </row>
    <row r="33" spans="1:20" ht="120" x14ac:dyDescent="0.25">
      <c r="A33" t="str">
        <f>B33&amp;"-w"&amp;D33&amp;"-g"&amp;TEXT(COUNTIFS($B$2:B33,B33,$D$2:D33,D33),"00")</f>
        <v>2026-w6-g05</v>
      </c>
      <c r="B33">
        <v>2026</v>
      </c>
      <c r="C33" t="s">
        <v>36</v>
      </c>
      <c r="D33">
        <v>6</v>
      </c>
      <c r="E33" s="2">
        <v>46154</v>
      </c>
      <c r="F33" s="3">
        <v>0.85416666666666663</v>
      </c>
      <c r="G33" t="s">
        <v>9</v>
      </c>
      <c r="H33" t="s">
        <v>16</v>
      </c>
      <c r="I33" t="s">
        <v>17</v>
      </c>
      <c r="N33">
        <v>60</v>
      </c>
      <c r="O33">
        <v>20</v>
      </c>
      <c r="P33">
        <v>0</v>
      </c>
      <c r="Q33" t="s">
        <v>18</v>
      </c>
      <c r="R33" t="s">
        <v>312</v>
      </c>
      <c r="S33" s="1" t="s">
        <v>422</v>
      </c>
      <c r="T33" s="1" t="s">
        <v>424</v>
      </c>
    </row>
    <row r="34" spans="1:20" ht="390" x14ac:dyDescent="0.25">
      <c r="A34" t="str">
        <f>B34&amp;"-w"&amp;D34&amp;"-g"&amp;TEXT(COUNTIFS($B$2:B34,B34,$D$2:D34,D34),"00")</f>
        <v>2026-w6-g06</v>
      </c>
      <c r="B34">
        <v>2026</v>
      </c>
      <c r="C34" t="s">
        <v>36</v>
      </c>
      <c r="D34">
        <v>6</v>
      </c>
      <c r="E34" s="2">
        <v>46156</v>
      </c>
      <c r="F34" s="3">
        <v>0.8125</v>
      </c>
      <c r="G34" t="s">
        <v>9</v>
      </c>
      <c r="H34" t="s">
        <v>10</v>
      </c>
      <c r="I34" t="s">
        <v>15</v>
      </c>
      <c r="J34">
        <v>29</v>
      </c>
      <c r="K34">
        <v>41</v>
      </c>
      <c r="L34">
        <v>41</v>
      </c>
      <c r="M34">
        <v>27</v>
      </c>
      <c r="N34">
        <v>70</v>
      </c>
      <c r="O34">
        <v>68</v>
      </c>
      <c r="P34">
        <v>0</v>
      </c>
      <c r="Q34" t="s">
        <v>18</v>
      </c>
      <c r="R34" t="s">
        <v>310</v>
      </c>
      <c r="S34" s="1" t="s">
        <v>370</v>
      </c>
      <c r="T34" s="1" t="s">
        <v>433</v>
      </c>
    </row>
    <row r="35" spans="1:20" x14ac:dyDescent="0.25">
      <c r="A35" t="str">
        <f>B35&amp;"-w"&amp;D35&amp;"-g"&amp;TEXT(COUNTIFS($B$2:B35,B35,$D$2:D35,D35),"00")</f>
        <v>2026-w6-g07</v>
      </c>
      <c r="B35">
        <v>2026</v>
      </c>
      <c r="C35" t="s">
        <v>36</v>
      </c>
      <c r="D35">
        <v>6</v>
      </c>
      <c r="E35" s="2">
        <v>46156</v>
      </c>
      <c r="F35" s="3">
        <v>0.85416666666666663</v>
      </c>
      <c r="G35" t="s">
        <v>9</v>
      </c>
      <c r="H35" t="s">
        <v>14</v>
      </c>
      <c r="I35" t="s">
        <v>12</v>
      </c>
      <c r="J35">
        <v>19</v>
      </c>
      <c r="K35">
        <v>24</v>
      </c>
      <c r="L35">
        <v>24</v>
      </c>
      <c r="M35">
        <v>25</v>
      </c>
      <c r="N35">
        <v>43</v>
      </c>
      <c r="O35">
        <v>49</v>
      </c>
      <c r="P35">
        <v>0</v>
      </c>
      <c r="Q35" t="s">
        <v>18</v>
      </c>
      <c r="R35" t="s">
        <v>310</v>
      </c>
    </row>
    <row r="36" spans="1:20" x14ac:dyDescent="0.25">
      <c r="A36" t="str">
        <f>B36&amp;"-w"&amp;D36&amp;"-g"&amp;TEXT(COUNTIFS($B$2:B36,B36,$D$2:D36,D36),"00")</f>
        <v>2026-w7-g01</v>
      </c>
      <c r="B36">
        <v>2026</v>
      </c>
      <c r="C36" t="s">
        <v>36</v>
      </c>
      <c r="D36">
        <v>7</v>
      </c>
      <c r="E36" s="2">
        <v>46160</v>
      </c>
      <c r="F36" s="3">
        <v>0.77083333333333337</v>
      </c>
      <c r="G36" t="s">
        <v>9</v>
      </c>
      <c r="H36" t="s">
        <v>16</v>
      </c>
      <c r="I36" t="s">
        <v>12</v>
      </c>
      <c r="J36">
        <v>46</v>
      </c>
      <c r="K36">
        <v>29</v>
      </c>
      <c r="L36">
        <v>14</v>
      </c>
      <c r="M36">
        <v>16</v>
      </c>
      <c r="N36">
        <v>60</v>
      </c>
      <c r="O36">
        <v>45</v>
      </c>
      <c r="P36">
        <v>0</v>
      </c>
      <c r="Q36" t="s">
        <v>18</v>
      </c>
      <c r="R36" t="s">
        <v>310</v>
      </c>
    </row>
    <row r="37" spans="1:20" x14ac:dyDescent="0.25">
      <c r="A37" t="str">
        <f>B37&amp;"-w"&amp;D37&amp;"-g"&amp;TEXT(COUNTIFS($B$2:B37,B37,$D$2:D37,D37),"00")</f>
        <v>2026-w7-g02</v>
      </c>
      <c r="B37">
        <v>2026</v>
      </c>
      <c r="C37" t="s">
        <v>36</v>
      </c>
      <c r="D37">
        <v>7</v>
      </c>
      <c r="E37" s="2">
        <v>46160</v>
      </c>
      <c r="F37" s="3">
        <v>0.8125</v>
      </c>
      <c r="G37" t="s">
        <v>9</v>
      </c>
      <c r="H37" t="s">
        <v>15</v>
      </c>
      <c r="I37" t="s">
        <v>17</v>
      </c>
      <c r="N37">
        <v>60</v>
      </c>
      <c r="O37">
        <v>20</v>
      </c>
      <c r="P37">
        <v>0</v>
      </c>
      <c r="Q37" t="s">
        <v>18</v>
      </c>
      <c r="R37" t="s">
        <v>312</v>
      </c>
    </row>
    <row r="38" spans="1:20" x14ac:dyDescent="0.25">
      <c r="A38" t="str">
        <f>B38&amp;"-w"&amp;D38&amp;"-g"&amp;TEXT(COUNTIFS($B$2:B38,B38,$D$2:D38,D38),"00")</f>
        <v>2026-w7-g03</v>
      </c>
      <c r="B38">
        <v>2026</v>
      </c>
      <c r="C38" t="s">
        <v>36</v>
      </c>
      <c r="D38">
        <v>7</v>
      </c>
      <c r="E38" s="2">
        <v>46160</v>
      </c>
      <c r="F38" s="3">
        <v>0.85416666666666663</v>
      </c>
      <c r="G38" t="s">
        <v>9</v>
      </c>
      <c r="H38" t="s">
        <v>11</v>
      </c>
      <c r="I38" t="s">
        <v>13</v>
      </c>
      <c r="J38">
        <v>31</v>
      </c>
      <c r="K38">
        <v>26</v>
      </c>
      <c r="L38">
        <v>33</v>
      </c>
      <c r="M38">
        <v>34</v>
      </c>
      <c r="N38">
        <v>64</v>
      </c>
      <c r="O38">
        <v>60</v>
      </c>
      <c r="P38">
        <v>0</v>
      </c>
      <c r="Q38" t="s">
        <v>18</v>
      </c>
      <c r="R38" t="s">
        <v>310</v>
      </c>
    </row>
    <row r="39" spans="1:20" x14ac:dyDescent="0.25">
      <c r="A39" t="str">
        <f>B39&amp;"-w"&amp;D39&amp;"-g"&amp;TEXT(COUNTIFS($B$2:B39,B39,$D$2:D39,D39),"00")</f>
        <v>2026-w7-g04</v>
      </c>
      <c r="B39">
        <v>2026</v>
      </c>
      <c r="C39" t="s">
        <v>36</v>
      </c>
      <c r="D39">
        <v>7</v>
      </c>
      <c r="E39" s="2">
        <v>46161</v>
      </c>
      <c r="F39" s="3">
        <v>0.77083333333333337</v>
      </c>
      <c r="G39" t="s">
        <v>9</v>
      </c>
      <c r="H39" t="s">
        <v>13</v>
      </c>
      <c r="I39" t="s">
        <v>16</v>
      </c>
      <c r="J39">
        <v>27</v>
      </c>
      <c r="K39">
        <v>24</v>
      </c>
      <c r="L39">
        <v>33</v>
      </c>
      <c r="M39">
        <v>25</v>
      </c>
      <c r="N39">
        <v>60</v>
      </c>
      <c r="O39">
        <v>49</v>
      </c>
      <c r="P39">
        <v>0</v>
      </c>
      <c r="Q39" t="s">
        <v>18</v>
      </c>
      <c r="R39" t="s">
        <v>310</v>
      </c>
    </row>
    <row r="40" spans="1:20" x14ac:dyDescent="0.25">
      <c r="A40" t="str">
        <f>B40&amp;"-w"&amp;D40&amp;"-g"&amp;TEXT(COUNTIFS($B$2:B40,B40,$D$2:D40,D40),"00")</f>
        <v>2026-w7-g05</v>
      </c>
      <c r="B40">
        <v>2026</v>
      </c>
      <c r="C40" t="s">
        <v>36</v>
      </c>
      <c r="D40">
        <v>7</v>
      </c>
      <c r="E40" s="2">
        <v>46161</v>
      </c>
      <c r="F40" s="3">
        <v>0.8125</v>
      </c>
      <c r="G40" t="s">
        <v>9</v>
      </c>
      <c r="H40" t="s">
        <v>10</v>
      </c>
      <c r="I40" t="s">
        <v>11</v>
      </c>
      <c r="J40">
        <v>31</v>
      </c>
      <c r="K40">
        <v>26</v>
      </c>
      <c r="L40">
        <v>37</v>
      </c>
      <c r="M40">
        <v>9</v>
      </c>
      <c r="N40">
        <v>68</v>
      </c>
      <c r="O40">
        <v>35</v>
      </c>
      <c r="P40">
        <v>0</v>
      </c>
      <c r="Q40" t="s">
        <v>18</v>
      </c>
      <c r="R40" t="s">
        <v>310</v>
      </c>
    </row>
    <row r="41" spans="1:20" x14ac:dyDescent="0.25">
      <c r="A41" t="str">
        <f>B41&amp;"-w"&amp;D41&amp;"-g"&amp;TEXT(COUNTIFS($B$2:B41,B41,$D$2:D41,D41),"00")</f>
        <v>2026-w7-g06</v>
      </c>
      <c r="B41">
        <v>2026</v>
      </c>
      <c r="C41" t="s">
        <v>36</v>
      </c>
      <c r="D41">
        <v>7</v>
      </c>
      <c r="E41" s="2">
        <v>46161</v>
      </c>
      <c r="F41" s="3">
        <v>0.85416666666666663</v>
      </c>
      <c r="G41" t="s">
        <v>9</v>
      </c>
      <c r="H41" t="s">
        <v>17</v>
      </c>
      <c r="I41" t="s">
        <v>14</v>
      </c>
      <c r="J41">
        <v>12</v>
      </c>
      <c r="K41">
        <v>35</v>
      </c>
      <c r="L41">
        <v>12</v>
      </c>
      <c r="M41">
        <v>25</v>
      </c>
      <c r="N41">
        <v>24</v>
      </c>
      <c r="O41">
        <v>58</v>
      </c>
      <c r="P41">
        <v>0</v>
      </c>
      <c r="Q41" t="s">
        <v>18</v>
      </c>
      <c r="R41" t="s">
        <v>310</v>
      </c>
    </row>
    <row r="42" spans="1:20" x14ac:dyDescent="0.25">
      <c r="A42" t="s">
        <v>513</v>
      </c>
      <c r="B42">
        <v>2026</v>
      </c>
      <c r="C42" t="s">
        <v>37</v>
      </c>
      <c r="D42">
        <v>8</v>
      </c>
      <c r="E42" s="2">
        <v>46175</v>
      </c>
      <c r="F42" s="3">
        <v>0.8125</v>
      </c>
      <c r="G42" t="s">
        <v>9</v>
      </c>
      <c r="H42" t="s">
        <v>10</v>
      </c>
      <c r="I42" t="s">
        <v>17</v>
      </c>
      <c r="N42">
        <v>60</v>
      </c>
      <c r="O42">
        <v>20</v>
      </c>
      <c r="P42">
        <v>0</v>
      </c>
      <c r="Q42" t="s">
        <v>18</v>
      </c>
      <c r="R42" t="s">
        <v>312</v>
      </c>
    </row>
    <row r="43" spans="1:20" x14ac:dyDescent="0.25">
      <c r="A43" t="s">
        <v>514</v>
      </c>
      <c r="B43">
        <v>2026</v>
      </c>
      <c r="C43" t="s">
        <v>37</v>
      </c>
      <c r="D43">
        <v>8</v>
      </c>
      <c r="E43" s="2">
        <v>46175</v>
      </c>
      <c r="F43" s="3">
        <v>0.85416666666666663</v>
      </c>
      <c r="G43" t="s">
        <v>9</v>
      </c>
      <c r="H43" t="s">
        <v>11</v>
      </c>
      <c r="I43" t="s">
        <v>12</v>
      </c>
      <c r="J43">
        <v>31</v>
      </c>
      <c r="K43">
        <v>24</v>
      </c>
      <c r="L43">
        <v>16</v>
      </c>
      <c r="M43">
        <v>23</v>
      </c>
      <c r="N43">
        <v>47</v>
      </c>
      <c r="O43">
        <v>47</v>
      </c>
      <c r="P43">
        <v>1</v>
      </c>
      <c r="Q43" t="s">
        <v>18</v>
      </c>
      <c r="R43" t="s">
        <v>310</v>
      </c>
    </row>
    <row r="44" spans="1:20" x14ac:dyDescent="0.25">
      <c r="A44" t="s">
        <v>526</v>
      </c>
      <c r="B44">
        <v>2026</v>
      </c>
      <c r="C44" t="s">
        <v>37</v>
      </c>
      <c r="D44">
        <v>8</v>
      </c>
      <c r="E44" s="2">
        <v>46176</v>
      </c>
      <c r="F44" s="3">
        <v>0.77083333333333337</v>
      </c>
      <c r="G44" t="s">
        <v>9</v>
      </c>
      <c r="H44" t="s">
        <v>15</v>
      </c>
      <c r="I44" t="s">
        <v>16</v>
      </c>
      <c r="J44">
        <v>46</v>
      </c>
      <c r="K44">
        <v>31</v>
      </c>
      <c r="L44">
        <v>21</v>
      </c>
      <c r="M44">
        <v>15</v>
      </c>
      <c r="N44">
        <v>67</v>
      </c>
      <c r="O44">
        <v>46</v>
      </c>
      <c r="P44">
        <v>0</v>
      </c>
      <c r="Q44" t="s">
        <v>18</v>
      </c>
      <c r="R44" t="s">
        <v>310</v>
      </c>
    </row>
    <row r="45" spans="1:20" x14ac:dyDescent="0.25">
      <c r="A45" t="s">
        <v>527</v>
      </c>
      <c r="B45">
        <v>2026</v>
      </c>
      <c r="C45" t="s">
        <v>37</v>
      </c>
      <c r="D45">
        <v>8</v>
      </c>
      <c r="E45" s="2">
        <v>46176</v>
      </c>
      <c r="F45" s="3">
        <v>0.8125</v>
      </c>
      <c r="G45" t="s">
        <v>9</v>
      </c>
      <c r="H45" t="s">
        <v>13</v>
      </c>
      <c r="I45" t="s">
        <v>14</v>
      </c>
      <c r="J45">
        <v>24</v>
      </c>
      <c r="K45">
        <v>30</v>
      </c>
      <c r="L45">
        <v>26</v>
      </c>
      <c r="M45">
        <v>19</v>
      </c>
      <c r="N45">
        <v>50</v>
      </c>
      <c r="O45">
        <v>49</v>
      </c>
      <c r="P45">
        <v>0</v>
      </c>
      <c r="Q45" t="s">
        <v>18</v>
      </c>
      <c r="R45" t="s">
        <v>310</v>
      </c>
    </row>
  </sheetData>
  <autoFilter ref="A1:T41" xr:uid="{00000000-0001-0000-0000-000000000000}"/>
  <phoneticPr fontId="3" type="noConversion"/>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E1C66C7-4185-4C51-8AA0-9FDE86AAD2DD}">
          <x14:formula1>
            <xm:f>selection_values!$A$1:$A$8</xm:f>
          </x14:formula1>
          <xm:sqref>H2:I1048576</xm:sqref>
        </x14:dataValidation>
        <x14:dataValidation type="list" allowBlank="1" showInputMessage="1" showErrorMessage="1" xr:uid="{244B7FB9-0501-4F96-AAB9-8D8E6669C13E}">
          <x14:formula1>
            <xm:f>selection_values!$D$1:$D$4</xm:f>
          </x14:formula1>
          <xm:sqref>Q2:Q1048576</xm:sqref>
        </x14:dataValidation>
        <x14:dataValidation type="list" allowBlank="1" showInputMessage="1" showErrorMessage="1" xr:uid="{61A1B4C5-A3E5-47E8-9C42-92539C4B14B5}">
          <x14:formula1>
            <xm:f>selection_values!$F$1:$F$3</xm:f>
          </x14:formula1>
          <xm:sqref>F2:F1048576</xm:sqref>
        </x14:dataValidation>
        <x14:dataValidation type="list" allowBlank="1" showInputMessage="1" showErrorMessage="1" xr:uid="{A305FED6-C0CE-4356-8F43-33377883AD53}">
          <x14:formula1>
            <xm:f>selection_values!$H$1:$H$3</xm:f>
          </x14:formula1>
          <xm:sqref>C2:C1048576</xm:sqref>
        </x14:dataValidation>
        <x14:dataValidation type="list" allowBlank="1" showInputMessage="1" showErrorMessage="1" xr:uid="{ADFB7597-D5B9-480B-BE01-713D78C11DBD}">
          <x14:formula1>
            <xm:f>selection_values!$J$1:$J$3</xm:f>
          </x14:formula1>
          <xm:sqref>R2:R1048576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AF34C-B63C-4CF6-8513-43F58983B75E}">
  <dimension ref="A1:U549"/>
  <sheetViews>
    <sheetView tabSelected="1" zoomScale="80" zoomScaleNormal="80" workbookViewId="0">
      <pane ySplit="1" topLeftCell="A516" activePane="bottomLeft" state="frozen"/>
      <selection pane="bottomLeft" activeCell="A538" sqref="A538:U549"/>
    </sheetView>
  </sheetViews>
  <sheetFormatPr defaultRowHeight="15" x14ac:dyDescent="0.25"/>
  <cols>
    <col min="1" max="1" width="16" customWidth="1"/>
    <col min="2" max="2" width="10" customWidth="1"/>
    <col min="3" max="3" width="15" customWidth="1"/>
    <col min="4" max="4" width="8" customWidth="1"/>
    <col min="5" max="5" width="12" customWidth="1"/>
    <col min="6" max="6" width="11" customWidth="1"/>
    <col min="7" max="7" width="12" customWidth="1"/>
    <col min="8" max="8" width="13" customWidth="1"/>
    <col min="9" max="9" width="29.42578125" bestFit="1" customWidth="1"/>
    <col min="10" max="10" width="24.28515625" bestFit="1" customWidth="1"/>
    <col min="11" max="11" width="24" customWidth="1"/>
    <col min="12" max="12" width="22" customWidth="1"/>
    <col min="13" max="15" width="24" customWidth="1"/>
    <col min="16" max="16" width="12" customWidth="1"/>
    <col min="17" max="21" width="10" customWidth="1"/>
  </cols>
  <sheetData>
    <row r="1" spans="1:21" ht="30" x14ac:dyDescent="0.25">
      <c r="A1" s="6" t="s">
        <v>315</v>
      </c>
      <c r="B1" s="7" t="s">
        <v>62</v>
      </c>
      <c r="C1" s="7" t="s">
        <v>35</v>
      </c>
      <c r="D1" s="7" t="s">
        <v>0</v>
      </c>
      <c r="E1" s="7" t="s">
        <v>1</v>
      </c>
      <c r="F1" s="7" t="s">
        <v>2</v>
      </c>
      <c r="G1" s="7" t="s">
        <v>6</v>
      </c>
      <c r="H1" s="7" t="s">
        <v>309</v>
      </c>
      <c r="I1" s="7" t="s">
        <v>68</v>
      </c>
      <c r="J1" s="7" t="s">
        <v>65</v>
      </c>
      <c r="K1" s="7" t="s">
        <v>39</v>
      </c>
      <c r="L1" s="7" t="s">
        <v>360</v>
      </c>
      <c r="M1" s="7" t="s">
        <v>359</v>
      </c>
      <c r="N1" s="7" t="s">
        <v>64</v>
      </c>
      <c r="O1" s="7" t="s">
        <v>358</v>
      </c>
      <c r="P1" s="7" t="s">
        <v>214</v>
      </c>
      <c r="Q1" s="7" t="s">
        <v>357</v>
      </c>
      <c r="R1" s="7" t="s">
        <v>356</v>
      </c>
      <c r="S1" s="7" t="s">
        <v>355</v>
      </c>
      <c r="T1" s="7" t="s">
        <v>354</v>
      </c>
      <c r="U1" s="8" t="s">
        <v>353</v>
      </c>
    </row>
    <row r="2" spans="1:21" x14ac:dyDescent="0.25">
      <c r="A2" s="9" t="s">
        <v>352</v>
      </c>
      <c r="B2" s="10">
        <v>2026</v>
      </c>
      <c r="C2" s="10" t="s">
        <v>36</v>
      </c>
      <c r="D2" s="10">
        <v>1</v>
      </c>
      <c r="E2" s="11">
        <v>46112</v>
      </c>
      <c r="F2" s="12">
        <v>0.77083333333333337</v>
      </c>
      <c r="G2" s="10" t="s">
        <v>18</v>
      </c>
      <c r="H2" s="10" t="s">
        <v>310</v>
      </c>
      <c r="I2" s="10" t="s">
        <v>294</v>
      </c>
      <c r="J2" s="10" t="s">
        <v>10</v>
      </c>
      <c r="K2" s="10" t="s">
        <v>42</v>
      </c>
      <c r="L2" s="10" t="s">
        <v>11</v>
      </c>
      <c r="M2" s="10" t="s">
        <v>45</v>
      </c>
      <c r="N2" s="10" t="s">
        <v>221</v>
      </c>
      <c r="O2" s="10" t="str">
        <f>_xlfn.XLOOKUP(N2,players!A:A,players!D:D,"")</f>
        <v>Dom Sepko</v>
      </c>
      <c r="P2" s="10" cm="1">
        <f t="array" ref="P2">_xlfn.XLOOKUP(I2&amp;N2,rosterSpots!B:B&amp;rosterSpots!D:D,rosterSpots!E:E,"")</f>
        <v>3</v>
      </c>
      <c r="Q2" s="10">
        <f xml:space="preserve"> (playerGameStats!$R2 * 2) + (playerGameStats!$S2 * 3) + (playerGameStats!$T2)</f>
        <v>4</v>
      </c>
      <c r="R2" s="10">
        <v>2</v>
      </c>
      <c r="S2" s="10">
        <v>0</v>
      </c>
      <c r="T2" s="10">
        <v>0</v>
      </c>
      <c r="U2" s="13">
        <v>0</v>
      </c>
    </row>
    <row r="3" spans="1:21" x14ac:dyDescent="0.25">
      <c r="A3" s="14" t="s">
        <v>352</v>
      </c>
      <c r="B3" s="15">
        <v>2026</v>
      </c>
      <c r="C3" s="15" t="s">
        <v>36</v>
      </c>
      <c r="D3" s="15">
        <v>1</v>
      </c>
      <c r="E3" s="16">
        <v>46112</v>
      </c>
      <c r="F3" s="17">
        <v>0.77083333333333337</v>
      </c>
      <c r="G3" s="15" t="s">
        <v>18</v>
      </c>
      <c r="H3" s="15" t="s">
        <v>310</v>
      </c>
      <c r="I3" s="15" t="s">
        <v>294</v>
      </c>
      <c r="J3" s="15" t="s">
        <v>10</v>
      </c>
      <c r="K3" s="15" t="s">
        <v>42</v>
      </c>
      <c r="L3" s="15" t="s">
        <v>11</v>
      </c>
      <c r="M3" s="15" t="s">
        <v>45</v>
      </c>
      <c r="N3" s="15" t="s">
        <v>219</v>
      </c>
      <c r="O3" s="15" t="str">
        <f>_xlfn.XLOOKUP(N3,players!A:A,players!D:D,"")</f>
        <v>Ryan Maloney</v>
      </c>
      <c r="P3" s="15" cm="1">
        <f t="array" ref="P3">_xlfn.XLOOKUP(I3&amp;N3,rosterSpots!B:B&amp;rosterSpots!D:D,rosterSpots!E:E,"")</f>
        <v>5</v>
      </c>
      <c r="Q3" s="15">
        <f xml:space="preserve"> (playerGameStats!$R3 * 2) + (playerGameStats!$S3 * 3) + (playerGameStats!$T3)</f>
        <v>9</v>
      </c>
      <c r="R3" s="15">
        <v>0</v>
      </c>
      <c r="S3" s="15">
        <v>3</v>
      </c>
      <c r="T3" s="15">
        <v>0</v>
      </c>
      <c r="U3" s="18">
        <v>0</v>
      </c>
    </row>
    <row r="4" spans="1:21" x14ac:dyDescent="0.25">
      <c r="A4" s="19" t="s">
        <v>352</v>
      </c>
      <c r="B4" s="20">
        <v>2026</v>
      </c>
      <c r="C4" s="20" t="s">
        <v>36</v>
      </c>
      <c r="D4" s="20">
        <v>1</v>
      </c>
      <c r="E4" s="21">
        <v>46112</v>
      </c>
      <c r="F4" s="22">
        <v>0.77083333333333337</v>
      </c>
      <c r="G4" s="20" t="s">
        <v>18</v>
      </c>
      <c r="H4" s="20" t="s">
        <v>310</v>
      </c>
      <c r="I4" s="20" t="s">
        <v>294</v>
      </c>
      <c r="J4" s="20" t="s">
        <v>10</v>
      </c>
      <c r="K4" s="20" t="s">
        <v>42</v>
      </c>
      <c r="L4" s="20" t="s">
        <v>11</v>
      </c>
      <c r="M4" s="20" t="s">
        <v>45</v>
      </c>
      <c r="N4" s="20" t="s">
        <v>218</v>
      </c>
      <c r="O4" s="20" t="str">
        <f>_xlfn.XLOOKUP(N4,players!A:A,players!D:D,"")</f>
        <v>Guy Johnson</v>
      </c>
      <c r="P4" s="20" cm="1">
        <f t="array" ref="P4">_xlfn.XLOOKUP(I4&amp;N4,rosterSpots!B:B&amp;rosterSpots!D:D,rosterSpots!E:E,"")</f>
        <v>9</v>
      </c>
      <c r="Q4" s="20">
        <f xml:space="preserve"> (playerGameStats!$R4 * 2) + (playerGameStats!$S4 * 3) + (playerGameStats!$T4)</f>
        <v>23</v>
      </c>
      <c r="R4" s="20">
        <v>2</v>
      </c>
      <c r="S4" s="20">
        <v>6</v>
      </c>
      <c r="T4" s="20">
        <v>1</v>
      </c>
      <c r="U4" s="23">
        <v>1</v>
      </c>
    </row>
    <row r="5" spans="1:21" x14ac:dyDescent="0.25">
      <c r="A5" s="14" t="s">
        <v>352</v>
      </c>
      <c r="B5" s="15">
        <v>2026</v>
      </c>
      <c r="C5" s="15" t="s">
        <v>36</v>
      </c>
      <c r="D5" s="15">
        <v>1</v>
      </c>
      <c r="E5" s="16">
        <v>46112</v>
      </c>
      <c r="F5" s="17">
        <v>0.77083333333333337</v>
      </c>
      <c r="G5" s="15" t="s">
        <v>18</v>
      </c>
      <c r="H5" s="15" t="s">
        <v>310</v>
      </c>
      <c r="I5" s="15" t="s">
        <v>294</v>
      </c>
      <c r="J5" s="15" t="s">
        <v>10</v>
      </c>
      <c r="K5" s="15" t="s">
        <v>42</v>
      </c>
      <c r="L5" s="15" t="s">
        <v>11</v>
      </c>
      <c r="M5" s="15" t="s">
        <v>45</v>
      </c>
      <c r="N5" s="15" t="s">
        <v>222</v>
      </c>
      <c r="O5" s="15" t="str">
        <f>_xlfn.XLOOKUP(N5,players!A:A,players!D:D,"")</f>
        <v>Matt Morini</v>
      </c>
      <c r="P5" s="15" cm="1">
        <f t="array" ref="P5">_xlfn.XLOOKUP(I5&amp;N5,rosterSpots!B:B&amp;rosterSpots!D:D,rosterSpots!E:E,"")</f>
        <v>11</v>
      </c>
      <c r="Q5" s="15">
        <f xml:space="preserve"> (playerGameStats!$R5 * 2) + (playerGameStats!$S5 * 3) + (playerGameStats!$T5)</f>
        <v>2</v>
      </c>
      <c r="R5" s="15">
        <v>1</v>
      </c>
      <c r="S5" s="15">
        <v>0</v>
      </c>
      <c r="T5" s="15">
        <v>0</v>
      </c>
      <c r="U5" s="18">
        <v>0</v>
      </c>
    </row>
    <row r="6" spans="1:21" x14ac:dyDescent="0.25">
      <c r="A6" s="19" t="s">
        <v>352</v>
      </c>
      <c r="B6" s="20">
        <v>2026</v>
      </c>
      <c r="C6" s="20" t="s">
        <v>36</v>
      </c>
      <c r="D6" s="20">
        <v>1</v>
      </c>
      <c r="E6" s="21">
        <v>46112</v>
      </c>
      <c r="F6" s="22">
        <v>0.77083333333333337</v>
      </c>
      <c r="G6" s="20" t="s">
        <v>18</v>
      </c>
      <c r="H6" s="20" t="s">
        <v>310</v>
      </c>
      <c r="I6" s="20" t="s">
        <v>294</v>
      </c>
      <c r="J6" s="20" t="s">
        <v>10</v>
      </c>
      <c r="K6" s="20" t="s">
        <v>42</v>
      </c>
      <c r="L6" s="20" t="s">
        <v>11</v>
      </c>
      <c r="M6" s="20" t="s">
        <v>45</v>
      </c>
      <c r="N6" s="20" t="s">
        <v>223</v>
      </c>
      <c r="O6" s="20" t="str">
        <f>_xlfn.XLOOKUP(N6,players!A:A,players!D:D,"")</f>
        <v>Clayton Kunzweiler</v>
      </c>
      <c r="P6" s="20" cm="1">
        <f t="array" ref="P6">_xlfn.XLOOKUP(I6&amp;N6,rosterSpots!B:B&amp;rosterSpots!D:D,rosterSpots!E:E,"")</f>
        <v>13</v>
      </c>
      <c r="Q6" s="20">
        <f xml:space="preserve"> (playerGameStats!$R6 * 2) + (playerGameStats!$S6 * 3) + (playerGameStats!$T6)</f>
        <v>12</v>
      </c>
      <c r="R6" s="20">
        <v>4</v>
      </c>
      <c r="S6" s="20">
        <v>1</v>
      </c>
      <c r="T6" s="20">
        <v>1</v>
      </c>
      <c r="U6" s="23">
        <v>1</v>
      </c>
    </row>
    <row r="7" spans="1:21" x14ac:dyDescent="0.25">
      <c r="A7" s="14" t="s">
        <v>352</v>
      </c>
      <c r="B7" s="15">
        <v>2026</v>
      </c>
      <c r="C7" s="15" t="s">
        <v>36</v>
      </c>
      <c r="D7" s="15">
        <v>1</v>
      </c>
      <c r="E7" s="16">
        <v>46112</v>
      </c>
      <c r="F7" s="17">
        <v>0.77083333333333337</v>
      </c>
      <c r="G7" s="15" t="s">
        <v>18</v>
      </c>
      <c r="H7" s="15" t="s">
        <v>310</v>
      </c>
      <c r="I7" s="15" t="s">
        <v>294</v>
      </c>
      <c r="J7" s="15" t="s">
        <v>10</v>
      </c>
      <c r="K7" s="15" t="s">
        <v>42</v>
      </c>
      <c r="L7" s="15" t="s">
        <v>11</v>
      </c>
      <c r="M7" s="15" t="s">
        <v>45</v>
      </c>
      <c r="N7" s="15" t="s">
        <v>220</v>
      </c>
      <c r="O7" s="15" t="str">
        <f>_xlfn.XLOOKUP(N7,players!A:A,players!D:D,"")</f>
        <v>Ryan Chapman</v>
      </c>
      <c r="P7" s="15" cm="1">
        <f t="array" ref="P7">_xlfn.XLOOKUP(I7&amp;N7,rosterSpots!B:B&amp;rosterSpots!D:D,rosterSpots!E:E,"")</f>
        <v>20</v>
      </c>
      <c r="Q7" s="15">
        <f xml:space="preserve"> (playerGameStats!$R7 * 2) + (playerGameStats!$S7 * 3) + (playerGameStats!$T7)</f>
        <v>2</v>
      </c>
      <c r="R7" s="15">
        <v>1</v>
      </c>
      <c r="S7" s="15">
        <v>0</v>
      </c>
      <c r="T7" s="15">
        <v>0</v>
      </c>
      <c r="U7" s="18">
        <v>0</v>
      </c>
    </row>
    <row r="8" spans="1:21" x14ac:dyDescent="0.25">
      <c r="A8" s="19" t="s">
        <v>352</v>
      </c>
      <c r="B8" s="20">
        <v>2026</v>
      </c>
      <c r="C8" s="20" t="s">
        <v>36</v>
      </c>
      <c r="D8" s="20">
        <v>1</v>
      </c>
      <c r="E8" s="21">
        <v>46112</v>
      </c>
      <c r="F8" s="22">
        <v>0.77083333333333337</v>
      </c>
      <c r="G8" s="20" t="s">
        <v>18</v>
      </c>
      <c r="H8" s="20" t="s">
        <v>310</v>
      </c>
      <c r="I8" s="20" t="s">
        <v>294</v>
      </c>
      <c r="J8" s="20" t="s">
        <v>10</v>
      </c>
      <c r="K8" s="20" t="s">
        <v>42</v>
      </c>
      <c r="L8" s="20" t="s">
        <v>11</v>
      </c>
      <c r="M8" s="20" t="s">
        <v>45</v>
      </c>
      <c r="N8" s="20" t="s">
        <v>215</v>
      </c>
      <c r="O8" s="20" t="str">
        <f>_xlfn.XLOOKUP(N8,players!A:A,players!D:D,"")</f>
        <v>Ryan Fontanazza</v>
      </c>
      <c r="P8" s="20" cm="1">
        <f t="array" ref="P8">_xlfn.XLOOKUP(I8&amp;N8,rosterSpots!B:B&amp;rosterSpots!D:D,rosterSpots!E:E,"")</f>
        <v>22</v>
      </c>
      <c r="Q8" s="20">
        <f xml:space="preserve"> (playerGameStats!$R8 * 2) + (playerGameStats!$S8 * 3) + (playerGameStats!$T8)</f>
        <v>4</v>
      </c>
      <c r="R8" s="20">
        <v>1</v>
      </c>
      <c r="S8" s="20">
        <v>0</v>
      </c>
      <c r="T8" s="20">
        <v>2</v>
      </c>
      <c r="U8" s="23">
        <v>3</v>
      </c>
    </row>
    <row r="9" spans="1:21" x14ac:dyDescent="0.25">
      <c r="A9" s="14" t="s">
        <v>352</v>
      </c>
      <c r="B9" s="15">
        <v>2026</v>
      </c>
      <c r="C9" s="15" t="s">
        <v>36</v>
      </c>
      <c r="D9" s="15">
        <v>1</v>
      </c>
      <c r="E9" s="16">
        <v>46112</v>
      </c>
      <c r="F9" s="17">
        <v>0.77083333333333337</v>
      </c>
      <c r="G9" s="15" t="s">
        <v>18</v>
      </c>
      <c r="H9" s="15" t="s">
        <v>310</v>
      </c>
      <c r="I9" s="15" t="s">
        <v>294</v>
      </c>
      <c r="J9" s="15" t="s">
        <v>10</v>
      </c>
      <c r="K9" s="15" t="s">
        <v>42</v>
      </c>
      <c r="L9" s="15" t="s">
        <v>11</v>
      </c>
      <c r="M9" s="15" t="s">
        <v>45</v>
      </c>
      <c r="N9" s="15" t="s">
        <v>217</v>
      </c>
      <c r="O9" s="15" t="str">
        <f>_xlfn.XLOOKUP(N9,players!A:A,players!D:D,"")</f>
        <v>Sean Denson</v>
      </c>
      <c r="P9" s="15" cm="1">
        <f t="array" ref="P9">_xlfn.XLOOKUP(I9&amp;N9,rosterSpots!B:B&amp;rosterSpots!D:D,rosterSpots!E:E,"")</f>
        <v>33</v>
      </c>
      <c r="Q9" s="15">
        <f xml:space="preserve"> (playerGameStats!$R9 * 2) + (playerGameStats!$S9 * 3) + (playerGameStats!$T9)</f>
        <v>5</v>
      </c>
      <c r="R9" s="15">
        <v>1</v>
      </c>
      <c r="S9" s="15">
        <v>1</v>
      </c>
      <c r="T9" s="15">
        <v>0</v>
      </c>
      <c r="U9" s="18">
        <v>0</v>
      </c>
    </row>
    <row r="10" spans="1:21" x14ac:dyDescent="0.25">
      <c r="A10" s="19" t="s">
        <v>352</v>
      </c>
      <c r="B10" s="20">
        <v>2026</v>
      </c>
      <c r="C10" s="20" t="s">
        <v>36</v>
      </c>
      <c r="D10" s="20">
        <v>1</v>
      </c>
      <c r="E10" s="21">
        <v>46112</v>
      </c>
      <c r="F10" s="22">
        <v>0.77083333333333337</v>
      </c>
      <c r="G10" s="20" t="s">
        <v>18</v>
      </c>
      <c r="H10" s="20" t="s">
        <v>310</v>
      </c>
      <c r="I10" s="20" t="s">
        <v>295</v>
      </c>
      <c r="J10" s="20" t="s">
        <v>11</v>
      </c>
      <c r="K10" s="20" t="s">
        <v>45</v>
      </c>
      <c r="L10" s="20" t="s">
        <v>10</v>
      </c>
      <c r="M10" s="20" t="s">
        <v>42</v>
      </c>
      <c r="N10" s="20" t="s">
        <v>227</v>
      </c>
      <c r="O10" s="20" t="str">
        <f>_xlfn.XLOOKUP(N10,players!A:A,players!D:D,"")</f>
        <v>Dave Homsher</v>
      </c>
      <c r="P10" s="20" cm="1">
        <f t="array" ref="P10">_xlfn.XLOOKUP(I10&amp;N10,rosterSpots!B:B&amp;rosterSpots!D:D,rosterSpots!E:E,"")</f>
        <v>3</v>
      </c>
      <c r="Q10" s="20">
        <f xml:space="preserve"> (playerGameStats!$R10 * 2) + (playerGameStats!$S10 * 3) + (playerGameStats!$T10)</f>
        <v>9</v>
      </c>
      <c r="R10" s="20">
        <v>3</v>
      </c>
      <c r="S10" s="20">
        <v>1</v>
      </c>
      <c r="T10" s="20">
        <v>0</v>
      </c>
      <c r="U10" s="23">
        <v>0</v>
      </c>
    </row>
    <row r="11" spans="1:21" x14ac:dyDescent="0.25">
      <c r="A11" s="14" t="s">
        <v>352</v>
      </c>
      <c r="B11" s="15">
        <v>2026</v>
      </c>
      <c r="C11" s="15" t="s">
        <v>36</v>
      </c>
      <c r="D11" s="15">
        <v>1</v>
      </c>
      <c r="E11" s="16">
        <v>46112</v>
      </c>
      <c r="F11" s="17">
        <v>0.77083333333333337</v>
      </c>
      <c r="G11" s="15" t="s">
        <v>18</v>
      </c>
      <c r="H11" s="15" t="s">
        <v>310</v>
      </c>
      <c r="I11" s="15" t="s">
        <v>295</v>
      </c>
      <c r="J11" s="15" t="s">
        <v>11</v>
      </c>
      <c r="K11" s="15" t="s">
        <v>45</v>
      </c>
      <c r="L11" s="15" t="s">
        <v>10</v>
      </c>
      <c r="M11" s="15" t="s">
        <v>42</v>
      </c>
      <c r="N11" s="15" t="s">
        <v>230</v>
      </c>
      <c r="O11" s="15" t="str">
        <f>_xlfn.XLOOKUP(N11,players!A:A,players!D:D,"")</f>
        <v>Angel Carrion</v>
      </c>
      <c r="P11" s="15" cm="1">
        <f t="array" ref="P11">_xlfn.XLOOKUP(I11&amp;N11,rosterSpots!B:B&amp;rosterSpots!D:D,rosterSpots!E:E,"")</f>
        <v>7</v>
      </c>
      <c r="Q11" s="15">
        <f xml:space="preserve"> (playerGameStats!$R11 * 2) + (playerGameStats!$S11 * 3) + (playerGameStats!$T11)</f>
        <v>3</v>
      </c>
      <c r="R11" s="15">
        <v>1</v>
      </c>
      <c r="S11" s="15">
        <v>0</v>
      </c>
      <c r="T11" s="15">
        <v>1</v>
      </c>
      <c r="U11" s="18">
        <v>2</v>
      </c>
    </row>
    <row r="12" spans="1:21" x14ac:dyDescent="0.25">
      <c r="A12" s="19" t="s">
        <v>352</v>
      </c>
      <c r="B12" s="20">
        <v>2026</v>
      </c>
      <c r="C12" s="20" t="s">
        <v>36</v>
      </c>
      <c r="D12" s="20">
        <v>1</v>
      </c>
      <c r="E12" s="21">
        <v>46112</v>
      </c>
      <c r="F12" s="22">
        <v>0.77083333333333337</v>
      </c>
      <c r="G12" s="20" t="s">
        <v>18</v>
      </c>
      <c r="H12" s="20" t="s">
        <v>310</v>
      </c>
      <c r="I12" s="20" t="s">
        <v>295</v>
      </c>
      <c r="J12" s="20" t="s">
        <v>11</v>
      </c>
      <c r="K12" s="20" t="s">
        <v>45</v>
      </c>
      <c r="L12" s="20" t="s">
        <v>10</v>
      </c>
      <c r="M12" s="20" t="s">
        <v>42</v>
      </c>
      <c r="N12" s="20" t="s">
        <v>233</v>
      </c>
      <c r="O12" s="20" t="str">
        <f>_xlfn.XLOOKUP(N12,players!A:A,players!D:D,"")</f>
        <v>Dylan Meyler</v>
      </c>
      <c r="P12" s="20" cm="1">
        <f t="array" ref="P12">_xlfn.XLOOKUP(I12&amp;N12,rosterSpots!B:B&amp;rosterSpots!D:D,rosterSpots!E:E,"")</f>
        <v>10</v>
      </c>
      <c r="Q12" s="20">
        <f xml:space="preserve"> (playerGameStats!$R12 * 2) + (playerGameStats!$S12 * 3) + (playerGameStats!$T12)</f>
        <v>0</v>
      </c>
      <c r="R12" s="20">
        <v>0</v>
      </c>
      <c r="S12" s="20">
        <v>0</v>
      </c>
      <c r="T12" s="20">
        <v>0</v>
      </c>
      <c r="U12" s="23">
        <v>0</v>
      </c>
    </row>
    <row r="13" spans="1:21" x14ac:dyDescent="0.25">
      <c r="A13" s="14" t="s">
        <v>352</v>
      </c>
      <c r="B13" s="15">
        <v>2026</v>
      </c>
      <c r="C13" s="15" t="s">
        <v>36</v>
      </c>
      <c r="D13" s="15">
        <v>1</v>
      </c>
      <c r="E13" s="16">
        <v>46112</v>
      </c>
      <c r="F13" s="17">
        <v>0.77083333333333337</v>
      </c>
      <c r="G13" s="15" t="s">
        <v>18</v>
      </c>
      <c r="H13" s="15" t="s">
        <v>310</v>
      </c>
      <c r="I13" s="15" t="s">
        <v>295</v>
      </c>
      <c r="J13" s="15" t="s">
        <v>11</v>
      </c>
      <c r="K13" s="15" t="s">
        <v>45</v>
      </c>
      <c r="L13" s="15" t="s">
        <v>10</v>
      </c>
      <c r="M13" s="15" t="s">
        <v>42</v>
      </c>
      <c r="N13" s="15" t="s">
        <v>234</v>
      </c>
      <c r="O13" s="15" t="str">
        <f>_xlfn.XLOOKUP(N13,players!A:A,players!D:D,"")</f>
        <v>Brendan Scott</v>
      </c>
      <c r="P13" s="15" cm="1">
        <f t="array" ref="P13">_xlfn.XLOOKUP(I13&amp;N13,rosterSpots!B:B&amp;rosterSpots!D:D,rosterSpots!E:E,"")</f>
        <v>11</v>
      </c>
      <c r="Q13" s="15">
        <f xml:space="preserve"> (playerGameStats!$R13 * 2) + (playerGameStats!$S13 * 3) + (playerGameStats!$T13)</f>
        <v>3</v>
      </c>
      <c r="R13" s="15">
        <v>1</v>
      </c>
      <c r="S13" s="15">
        <v>0</v>
      </c>
      <c r="T13" s="15">
        <v>1</v>
      </c>
      <c r="U13" s="18">
        <v>2</v>
      </c>
    </row>
    <row r="14" spans="1:21" x14ac:dyDescent="0.25">
      <c r="A14" s="19" t="s">
        <v>352</v>
      </c>
      <c r="B14" s="20">
        <v>2026</v>
      </c>
      <c r="C14" s="20" t="s">
        <v>36</v>
      </c>
      <c r="D14" s="20">
        <v>1</v>
      </c>
      <c r="E14" s="21">
        <v>46112</v>
      </c>
      <c r="F14" s="22">
        <v>0.77083333333333337</v>
      </c>
      <c r="G14" s="20" t="s">
        <v>18</v>
      </c>
      <c r="H14" s="20" t="s">
        <v>310</v>
      </c>
      <c r="I14" s="20" t="s">
        <v>295</v>
      </c>
      <c r="J14" s="20" t="s">
        <v>11</v>
      </c>
      <c r="K14" s="20" t="s">
        <v>45</v>
      </c>
      <c r="L14" s="20" t="s">
        <v>10</v>
      </c>
      <c r="M14" s="20" t="s">
        <v>42</v>
      </c>
      <c r="N14" s="20" t="s">
        <v>228</v>
      </c>
      <c r="O14" s="20" t="str">
        <f>_xlfn.XLOOKUP(N14,players!A:A,players!D:D,"")</f>
        <v>Scott Brusseler</v>
      </c>
      <c r="P14" s="20" cm="1">
        <f t="array" ref="P14">_xlfn.XLOOKUP(I14&amp;N14,rosterSpots!B:B&amp;rosterSpots!D:D,rosterSpots!E:E,"")</f>
        <v>14</v>
      </c>
      <c r="Q14" s="20">
        <f xml:space="preserve"> (playerGameStats!$R14 * 2) + (playerGameStats!$S14 * 3) + (playerGameStats!$T14)</f>
        <v>17</v>
      </c>
      <c r="R14" s="20">
        <v>4</v>
      </c>
      <c r="S14" s="20">
        <v>2</v>
      </c>
      <c r="T14" s="20">
        <v>3</v>
      </c>
      <c r="U14" s="23">
        <v>3</v>
      </c>
    </row>
    <row r="15" spans="1:21" x14ac:dyDescent="0.25">
      <c r="A15" s="14" t="s">
        <v>352</v>
      </c>
      <c r="B15" s="15">
        <v>2026</v>
      </c>
      <c r="C15" s="15" t="s">
        <v>36</v>
      </c>
      <c r="D15" s="15">
        <v>1</v>
      </c>
      <c r="E15" s="16">
        <v>46112</v>
      </c>
      <c r="F15" s="17">
        <v>0.77083333333333337</v>
      </c>
      <c r="G15" s="15" t="s">
        <v>18</v>
      </c>
      <c r="H15" s="15" t="s">
        <v>310</v>
      </c>
      <c r="I15" s="15" t="s">
        <v>295</v>
      </c>
      <c r="J15" s="15" t="s">
        <v>11</v>
      </c>
      <c r="K15" s="15" t="s">
        <v>45</v>
      </c>
      <c r="L15" s="15" t="s">
        <v>10</v>
      </c>
      <c r="M15" s="15" t="s">
        <v>42</v>
      </c>
      <c r="N15" s="15" t="s">
        <v>225</v>
      </c>
      <c r="O15" s="15" t="str">
        <f>_xlfn.XLOOKUP(N15,players!A:A,players!D:D,"")</f>
        <v>Chris Clemente</v>
      </c>
      <c r="P15" s="15" cm="1">
        <f t="array" ref="P15">_xlfn.XLOOKUP(I15&amp;N15,rosterSpots!B:B&amp;rosterSpots!D:D,rosterSpots!E:E,"")</f>
        <v>21</v>
      </c>
      <c r="Q15" s="15">
        <f xml:space="preserve"> (playerGameStats!$R15 * 2) + (playerGameStats!$S15 * 3) + (playerGameStats!$T15)</f>
        <v>8</v>
      </c>
      <c r="R15" s="15">
        <v>0</v>
      </c>
      <c r="S15" s="15">
        <v>1</v>
      </c>
      <c r="T15" s="15">
        <v>5</v>
      </c>
      <c r="U15" s="18">
        <v>6</v>
      </c>
    </row>
    <row r="16" spans="1:21" x14ac:dyDescent="0.25">
      <c r="A16" s="19" t="s">
        <v>352</v>
      </c>
      <c r="B16" s="20">
        <v>2026</v>
      </c>
      <c r="C16" s="20" t="s">
        <v>36</v>
      </c>
      <c r="D16" s="20">
        <v>1</v>
      </c>
      <c r="E16" s="21">
        <v>46112</v>
      </c>
      <c r="F16" s="22">
        <v>0.77083333333333337</v>
      </c>
      <c r="G16" s="20" t="s">
        <v>18</v>
      </c>
      <c r="H16" s="20" t="s">
        <v>310</v>
      </c>
      <c r="I16" s="20" t="s">
        <v>295</v>
      </c>
      <c r="J16" s="20" t="s">
        <v>11</v>
      </c>
      <c r="K16" s="20" t="s">
        <v>45</v>
      </c>
      <c r="L16" s="20" t="s">
        <v>10</v>
      </c>
      <c r="M16" s="20" t="s">
        <v>42</v>
      </c>
      <c r="N16" s="20" t="s">
        <v>231</v>
      </c>
      <c r="O16" s="20" t="str">
        <f>_xlfn.XLOOKUP(N16,players!A:A,players!D:D,"")</f>
        <v>Gates Brooks</v>
      </c>
      <c r="P16" s="20" cm="1">
        <f t="array" ref="P16">_xlfn.XLOOKUP(I16&amp;N16,rosterSpots!B:B&amp;rosterSpots!D:D,rosterSpots!E:E,"")</f>
        <v>43</v>
      </c>
      <c r="Q16" s="20">
        <f xml:space="preserve"> (playerGameStats!$R16 * 2) + (playerGameStats!$S16 * 3) + (playerGameStats!$T16)</f>
        <v>0</v>
      </c>
      <c r="R16" s="20">
        <v>0</v>
      </c>
      <c r="S16" s="20">
        <v>0</v>
      </c>
      <c r="T16" s="20">
        <v>0</v>
      </c>
      <c r="U16" s="23">
        <v>0</v>
      </c>
    </row>
    <row r="17" spans="1:21" x14ac:dyDescent="0.25">
      <c r="A17" s="14" t="s">
        <v>352</v>
      </c>
      <c r="B17" s="15">
        <v>2026</v>
      </c>
      <c r="C17" s="15" t="s">
        <v>36</v>
      </c>
      <c r="D17" s="15">
        <v>1</v>
      </c>
      <c r="E17" s="16">
        <v>46112</v>
      </c>
      <c r="F17" s="17">
        <v>0.77083333333333337</v>
      </c>
      <c r="G17" s="15" t="s">
        <v>18</v>
      </c>
      <c r="H17" s="15" t="s">
        <v>310</v>
      </c>
      <c r="I17" s="15" t="s">
        <v>295</v>
      </c>
      <c r="J17" s="15" t="s">
        <v>11</v>
      </c>
      <c r="K17" s="15" t="s">
        <v>45</v>
      </c>
      <c r="L17" s="15" t="s">
        <v>10</v>
      </c>
      <c r="M17" s="15" t="s">
        <v>42</v>
      </c>
      <c r="N17" s="15" t="s">
        <v>229</v>
      </c>
      <c r="O17" s="15" t="str">
        <f>_xlfn.XLOOKUP(N17,players!A:A,players!D:D,"")</f>
        <v>Anthony Shelepets</v>
      </c>
      <c r="P17" s="15" cm="1">
        <f t="array" ref="P17">_xlfn.XLOOKUP(I17&amp;N17,rosterSpots!B:B&amp;rosterSpots!D:D,rosterSpots!E:E,"")</f>
        <v>53</v>
      </c>
      <c r="Q17" s="15">
        <f xml:space="preserve"> (playerGameStats!$R17 * 2) + (playerGameStats!$S17 * 3) + (playerGameStats!$T17)</f>
        <v>9</v>
      </c>
      <c r="R17" s="15">
        <v>3</v>
      </c>
      <c r="S17" s="15">
        <v>0</v>
      </c>
      <c r="T17" s="15">
        <v>3</v>
      </c>
      <c r="U17" s="18">
        <v>3</v>
      </c>
    </row>
    <row r="18" spans="1:21" x14ac:dyDescent="0.25">
      <c r="A18" s="19" t="s">
        <v>351</v>
      </c>
      <c r="B18" s="20">
        <v>2026</v>
      </c>
      <c r="C18" s="20" t="s">
        <v>36</v>
      </c>
      <c r="D18" s="20">
        <v>1</v>
      </c>
      <c r="E18" s="21">
        <v>46112</v>
      </c>
      <c r="F18" s="22">
        <v>0.8125</v>
      </c>
      <c r="G18" s="20" t="s">
        <v>18</v>
      </c>
      <c r="H18" s="20" t="s">
        <v>310</v>
      </c>
      <c r="I18" s="20" t="s">
        <v>297</v>
      </c>
      <c r="J18" s="20" t="s">
        <v>13</v>
      </c>
      <c r="K18" s="20" t="s">
        <v>47</v>
      </c>
      <c r="L18" s="20" t="s">
        <v>12</v>
      </c>
      <c r="M18" s="20" t="s">
        <v>46</v>
      </c>
      <c r="N18" s="20" t="s">
        <v>248</v>
      </c>
      <c r="O18" s="20" t="str">
        <f>_xlfn.XLOOKUP(N18,players!A:A,players!D:D,"")</f>
        <v>Grant Clark</v>
      </c>
      <c r="P18" s="20" cm="1">
        <f t="array" ref="P18">_xlfn.XLOOKUP(I18&amp;N18,rosterSpots!B:B&amp;rosterSpots!D:D,rosterSpots!E:E,"")</f>
        <v>1</v>
      </c>
      <c r="Q18" s="20">
        <f xml:space="preserve"> (playerGameStats!$R18 * 2) + (playerGameStats!$S18 * 3) + (playerGameStats!$T18)</f>
        <v>5</v>
      </c>
      <c r="R18" s="20">
        <v>2</v>
      </c>
      <c r="S18" s="20">
        <v>0</v>
      </c>
      <c r="T18" s="20">
        <v>1</v>
      </c>
      <c r="U18" s="23">
        <v>2</v>
      </c>
    </row>
    <row r="19" spans="1:21" x14ac:dyDescent="0.25">
      <c r="A19" s="14" t="s">
        <v>351</v>
      </c>
      <c r="B19" s="15">
        <v>2026</v>
      </c>
      <c r="C19" s="15" t="s">
        <v>36</v>
      </c>
      <c r="D19" s="15">
        <v>1</v>
      </c>
      <c r="E19" s="16">
        <v>46112</v>
      </c>
      <c r="F19" s="17">
        <v>0.8125</v>
      </c>
      <c r="G19" s="15" t="s">
        <v>18</v>
      </c>
      <c r="H19" s="15" t="s">
        <v>310</v>
      </c>
      <c r="I19" s="15" t="s">
        <v>297</v>
      </c>
      <c r="J19" s="15" t="s">
        <v>13</v>
      </c>
      <c r="K19" s="15" t="s">
        <v>47</v>
      </c>
      <c r="L19" s="15" t="s">
        <v>12</v>
      </c>
      <c r="M19" s="15" t="s">
        <v>46</v>
      </c>
      <c r="N19" s="15" t="s">
        <v>252</v>
      </c>
      <c r="O19" s="15" t="str">
        <f>_xlfn.XLOOKUP(N19,players!A:A,players!D:D,"")</f>
        <v>Sean Lane</v>
      </c>
      <c r="P19" s="15" cm="1">
        <f t="array" ref="P19">_xlfn.XLOOKUP(I19&amp;N19,rosterSpots!B:B&amp;rosterSpots!D:D,rosterSpots!E:E,"")</f>
        <v>3</v>
      </c>
      <c r="Q19" s="15">
        <f xml:space="preserve"> (playerGameStats!$R19 * 2) + (playerGameStats!$S19 * 3) + (playerGameStats!$T19)</f>
        <v>3</v>
      </c>
      <c r="R19" s="15">
        <v>0</v>
      </c>
      <c r="S19" s="15">
        <v>1</v>
      </c>
      <c r="T19" s="15">
        <v>0</v>
      </c>
      <c r="U19" s="18">
        <v>0</v>
      </c>
    </row>
    <row r="20" spans="1:21" x14ac:dyDescent="0.25">
      <c r="A20" s="19" t="s">
        <v>351</v>
      </c>
      <c r="B20" s="20">
        <v>2026</v>
      </c>
      <c r="C20" s="20" t="s">
        <v>36</v>
      </c>
      <c r="D20" s="20">
        <v>1</v>
      </c>
      <c r="E20" s="21">
        <v>46112</v>
      </c>
      <c r="F20" s="22">
        <v>0.8125</v>
      </c>
      <c r="G20" s="20" t="s">
        <v>18</v>
      </c>
      <c r="H20" s="20" t="s">
        <v>310</v>
      </c>
      <c r="I20" s="20" t="s">
        <v>297</v>
      </c>
      <c r="J20" s="20" t="s">
        <v>13</v>
      </c>
      <c r="K20" s="20" t="s">
        <v>47</v>
      </c>
      <c r="L20" s="20" t="s">
        <v>12</v>
      </c>
      <c r="M20" s="20" t="s">
        <v>46</v>
      </c>
      <c r="N20" s="20" t="s">
        <v>244</v>
      </c>
      <c r="O20" s="20" t="str">
        <f>_xlfn.XLOOKUP(N20,players!A:A,players!D:D,"")</f>
        <v>Eli Ratliff</v>
      </c>
      <c r="P20" s="20" cm="1">
        <f t="array" ref="P20">_xlfn.XLOOKUP(I20&amp;N20,rosterSpots!B:B&amp;rosterSpots!D:D,rosterSpots!E:E,"")</f>
        <v>4</v>
      </c>
      <c r="Q20" s="20">
        <f xml:space="preserve"> (playerGameStats!$R20 * 2) + (playerGameStats!$S20 * 3) + (playerGameStats!$T20)</f>
        <v>0</v>
      </c>
      <c r="R20" s="20">
        <v>0</v>
      </c>
      <c r="S20" s="20">
        <v>0</v>
      </c>
      <c r="T20" s="20">
        <v>0</v>
      </c>
      <c r="U20" s="23">
        <v>0</v>
      </c>
    </row>
    <row r="21" spans="1:21" x14ac:dyDescent="0.25">
      <c r="A21" s="14" t="s">
        <v>351</v>
      </c>
      <c r="B21" s="15">
        <v>2026</v>
      </c>
      <c r="C21" s="15" t="s">
        <v>36</v>
      </c>
      <c r="D21" s="15">
        <v>1</v>
      </c>
      <c r="E21" s="16">
        <v>46112</v>
      </c>
      <c r="F21" s="17">
        <v>0.8125</v>
      </c>
      <c r="G21" s="15" t="s">
        <v>18</v>
      </c>
      <c r="H21" s="15" t="s">
        <v>310</v>
      </c>
      <c r="I21" s="15" t="s">
        <v>297</v>
      </c>
      <c r="J21" s="15" t="s">
        <v>13</v>
      </c>
      <c r="K21" s="15" t="s">
        <v>47</v>
      </c>
      <c r="L21" s="15" t="s">
        <v>12</v>
      </c>
      <c r="M21" s="15" t="s">
        <v>46</v>
      </c>
      <c r="N21" s="15" t="s">
        <v>251</v>
      </c>
      <c r="O21" s="15" t="str">
        <f>_xlfn.XLOOKUP(N21,players!A:A,players!D:D,"")</f>
        <v>Kyle Kelly</v>
      </c>
      <c r="P21" s="15" cm="1">
        <f t="array" ref="P21">_xlfn.XLOOKUP(I21&amp;N21,rosterSpots!B:B&amp;rosterSpots!D:D,rosterSpots!E:E,"")</f>
        <v>13</v>
      </c>
      <c r="Q21" s="15">
        <f xml:space="preserve"> (playerGameStats!$R21 * 2) + (playerGameStats!$S21 * 3) + (playerGameStats!$T21)</f>
        <v>11</v>
      </c>
      <c r="R21" s="15">
        <v>1</v>
      </c>
      <c r="S21" s="15">
        <v>3</v>
      </c>
      <c r="T21" s="15">
        <v>0</v>
      </c>
      <c r="U21" s="18">
        <v>0</v>
      </c>
    </row>
    <row r="22" spans="1:21" x14ac:dyDescent="0.25">
      <c r="A22" s="19" t="s">
        <v>351</v>
      </c>
      <c r="B22" s="20">
        <v>2026</v>
      </c>
      <c r="C22" s="20" t="s">
        <v>36</v>
      </c>
      <c r="D22" s="20">
        <v>1</v>
      </c>
      <c r="E22" s="21">
        <v>46112</v>
      </c>
      <c r="F22" s="22">
        <v>0.8125</v>
      </c>
      <c r="G22" s="20" t="s">
        <v>18</v>
      </c>
      <c r="H22" s="20" t="s">
        <v>310</v>
      </c>
      <c r="I22" s="20" t="s">
        <v>297</v>
      </c>
      <c r="J22" s="20" t="s">
        <v>13</v>
      </c>
      <c r="K22" s="20" t="s">
        <v>47</v>
      </c>
      <c r="L22" s="20" t="s">
        <v>12</v>
      </c>
      <c r="M22" s="20" t="s">
        <v>46</v>
      </c>
      <c r="N22" s="20" t="s">
        <v>247</v>
      </c>
      <c r="O22" s="20" t="str">
        <f>_xlfn.XLOOKUP(N22,players!A:A,players!D:D,"")</f>
        <v>Donte Diggs</v>
      </c>
      <c r="P22" s="20" cm="1">
        <f t="array" ref="P22">_xlfn.XLOOKUP(I22&amp;N22,rosterSpots!B:B&amp;rosterSpots!D:D,rosterSpots!E:E,"")</f>
        <v>21</v>
      </c>
      <c r="Q22" s="20">
        <f xml:space="preserve"> (playerGameStats!$R22 * 2) + (playerGameStats!$S22 * 3) + (playerGameStats!$T22)</f>
        <v>0</v>
      </c>
      <c r="R22" s="20">
        <v>0</v>
      </c>
      <c r="S22" s="20">
        <v>0</v>
      </c>
      <c r="T22" s="20">
        <v>0</v>
      </c>
      <c r="U22" s="23">
        <v>0</v>
      </c>
    </row>
    <row r="23" spans="1:21" x14ac:dyDescent="0.25">
      <c r="A23" s="14" t="s">
        <v>351</v>
      </c>
      <c r="B23" s="15">
        <v>2026</v>
      </c>
      <c r="C23" s="15" t="s">
        <v>36</v>
      </c>
      <c r="D23" s="15">
        <v>1</v>
      </c>
      <c r="E23" s="16">
        <v>46112</v>
      </c>
      <c r="F23" s="17">
        <v>0.8125</v>
      </c>
      <c r="G23" s="15" t="s">
        <v>18</v>
      </c>
      <c r="H23" s="15" t="s">
        <v>310</v>
      </c>
      <c r="I23" s="15" t="s">
        <v>297</v>
      </c>
      <c r="J23" s="15" t="s">
        <v>13</v>
      </c>
      <c r="K23" s="15" t="s">
        <v>47</v>
      </c>
      <c r="L23" s="15" t="s">
        <v>12</v>
      </c>
      <c r="M23" s="15" t="s">
        <v>46</v>
      </c>
      <c r="N23" s="15" t="s">
        <v>245</v>
      </c>
      <c r="O23" s="15" t="str">
        <f>_xlfn.XLOOKUP(N23,players!A:A,players!D:D,"")</f>
        <v>Deven Cobb</v>
      </c>
      <c r="P23" s="15" cm="1">
        <f t="array" ref="P23">_xlfn.XLOOKUP(I23&amp;N23,rosterSpots!B:B&amp;rosterSpots!D:D,rosterSpots!E:E,"")</f>
        <v>22</v>
      </c>
      <c r="Q23" s="15">
        <f xml:space="preserve"> (playerGameStats!$R23 * 2) + (playerGameStats!$S23 * 3) + (playerGameStats!$T23)</f>
        <v>11</v>
      </c>
      <c r="R23" s="15">
        <v>5</v>
      </c>
      <c r="S23" s="15">
        <v>0</v>
      </c>
      <c r="T23" s="15">
        <v>1</v>
      </c>
      <c r="U23" s="18">
        <v>3</v>
      </c>
    </row>
    <row r="24" spans="1:21" x14ac:dyDescent="0.25">
      <c r="A24" s="19" t="s">
        <v>351</v>
      </c>
      <c r="B24" s="20">
        <v>2026</v>
      </c>
      <c r="C24" s="20" t="s">
        <v>36</v>
      </c>
      <c r="D24" s="20">
        <v>1</v>
      </c>
      <c r="E24" s="21">
        <v>46112</v>
      </c>
      <c r="F24" s="22">
        <v>0.8125</v>
      </c>
      <c r="G24" s="20" t="s">
        <v>18</v>
      </c>
      <c r="H24" s="20" t="s">
        <v>310</v>
      </c>
      <c r="I24" s="20" t="s">
        <v>297</v>
      </c>
      <c r="J24" s="20" t="s">
        <v>13</v>
      </c>
      <c r="K24" s="20" t="s">
        <v>47</v>
      </c>
      <c r="L24" s="20" t="s">
        <v>12</v>
      </c>
      <c r="M24" s="20" t="s">
        <v>46</v>
      </c>
      <c r="N24" s="20" t="s">
        <v>305</v>
      </c>
      <c r="O24" s="20" t="str">
        <f>_xlfn.XLOOKUP(N24,players!A:A,players!D:D,"")</f>
        <v>Anthony Marone</v>
      </c>
      <c r="P24" s="20" cm="1">
        <f t="array" ref="P24">_xlfn.XLOOKUP(I24&amp;N24,rosterSpots!B:B&amp;rosterSpots!D:D,rosterSpots!E:E,"")</f>
        <v>32</v>
      </c>
      <c r="Q24" s="20">
        <f xml:space="preserve"> (playerGameStats!$R24 * 2) + (playerGameStats!$S24 * 3) + (playerGameStats!$T24)</f>
        <v>3</v>
      </c>
      <c r="R24" s="20">
        <v>1</v>
      </c>
      <c r="S24" s="20">
        <v>0</v>
      </c>
      <c r="T24" s="20">
        <v>1</v>
      </c>
      <c r="U24" s="23">
        <v>2</v>
      </c>
    </row>
    <row r="25" spans="1:21" x14ac:dyDescent="0.25">
      <c r="A25" s="14" t="s">
        <v>351</v>
      </c>
      <c r="B25" s="15">
        <v>2026</v>
      </c>
      <c r="C25" s="15" t="s">
        <v>36</v>
      </c>
      <c r="D25" s="15">
        <v>1</v>
      </c>
      <c r="E25" s="16">
        <v>46112</v>
      </c>
      <c r="F25" s="17">
        <v>0.8125</v>
      </c>
      <c r="G25" s="15" t="s">
        <v>18</v>
      </c>
      <c r="H25" s="15" t="s">
        <v>310</v>
      </c>
      <c r="I25" s="15" t="s">
        <v>297</v>
      </c>
      <c r="J25" s="15" t="s">
        <v>13</v>
      </c>
      <c r="K25" s="15" t="s">
        <v>47</v>
      </c>
      <c r="L25" s="15" t="s">
        <v>12</v>
      </c>
      <c r="M25" s="15" t="s">
        <v>46</v>
      </c>
      <c r="N25" s="15" t="s">
        <v>246</v>
      </c>
      <c r="O25" s="15" t="str">
        <f>_xlfn.XLOOKUP(N25,players!A:A,players!D:D,"")</f>
        <v>Niko Balis</v>
      </c>
      <c r="P25" s="15" cm="1">
        <f t="array" ref="P25">_xlfn.XLOOKUP(I25&amp;N25,rosterSpots!B:B&amp;rosterSpots!D:D,rosterSpots!E:E,"")</f>
        <v>51</v>
      </c>
      <c r="Q25" s="15">
        <f xml:space="preserve"> (playerGameStats!$R25 * 2) + (playerGameStats!$S25 * 3) + (playerGameStats!$T25)</f>
        <v>21</v>
      </c>
      <c r="R25" s="15">
        <v>0</v>
      </c>
      <c r="S25" s="15">
        <v>7</v>
      </c>
      <c r="T25" s="15">
        <v>0</v>
      </c>
      <c r="U25" s="18">
        <v>0</v>
      </c>
    </row>
    <row r="26" spans="1:21" x14ac:dyDescent="0.25">
      <c r="A26" s="19" t="s">
        <v>351</v>
      </c>
      <c r="B26" s="20">
        <v>2026</v>
      </c>
      <c r="C26" s="20" t="s">
        <v>36</v>
      </c>
      <c r="D26" s="20">
        <v>1</v>
      </c>
      <c r="E26" s="21">
        <v>46112</v>
      </c>
      <c r="F26" s="22">
        <v>0.8125</v>
      </c>
      <c r="G26" s="20" t="s">
        <v>18</v>
      </c>
      <c r="H26" s="20" t="s">
        <v>310</v>
      </c>
      <c r="I26" s="20" t="s">
        <v>298</v>
      </c>
      <c r="J26" s="20" t="s">
        <v>12</v>
      </c>
      <c r="K26" s="20" t="s">
        <v>46</v>
      </c>
      <c r="L26" s="20" t="s">
        <v>13</v>
      </c>
      <c r="M26" s="20" t="s">
        <v>47</v>
      </c>
      <c r="N26" s="20" t="s">
        <v>260</v>
      </c>
      <c r="O26" s="20" t="str">
        <f>_xlfn.XLOOKUP(N26,players!A:A,players!D:D,"")</f>
        <v>Manthan Tailor</v>
      </c>
      <c r="P26" s="20" cm="1">
        <f t="array" ref="P26">_xlfn.XLOOKUP(I26&amp;N26,rosterSpots!B:B&amp;rosterSpots!D:D,rosterSpots!E:E,"")</f>
        <v>2</v>
      </c>
      <c r="Q26" s="20">
        <f xml:space="preserve"> (playerGameStats!$R26 * 2) + (playerGameStats!$S26 * 3) + (playerGameStats!$T26)</f>
        <v>10</v>
      </c>
      <c r="R26" s="20">
        <v>2</v>
      </c>
      <c r="S26" s="20">
        <v>2</v>
      </c>
      <c r="T26" s="20">
        <v>0</v>
      </c>
      <c r="U26" s="23">
        <v>0</v>
      </c>
    </row>
    <row r="27" spans="1:21" x14ac:dyDescent="0.25">
      <c r="A27" s="14" t="s">
        <v>351</v>
      </c>
      <c r="B27" s="15">
        <v>2026</v>
      </c>
      <c r="C27" s="15" t="s">
        <v>36</v>
      </c>
      <c r="D27" s="15">
        <v>1</v>
      </c>
      <c r="E27" s="16">
        <v>46112</v>
      </c>
      <c r="F27" s="17">
        <v>0.8125</v>
      </c>
      <c r="G27" s="15" t="s">
        <v>18</v>
      </c>
      <c r="H27" s="15" t="s">
        <v>310</v>
      </c>
      <c r="I27" s="15" t="s">
        <v>298</v>
      </c>
      <c r="J27" s="15" t="s">
        <v>12</v>
      </c>
      <c r="K27" s="15" t="s">
        <v>46</v>
      </c>
      <c r="L27" s="15" t="s">
        <v>13</v>
      </c>
      <c r="M27" s="15" t="s">
        <v>47</v>
      </c>
      <c r="N27" s="15" t="s">
        <v>253</v>
      </c>
      <c r="O27" s="15" t="str">
        <f>_xlfn.XLOOKUP(N27,players!A:A,players!D:D,"")</f>
        <v>Doug Adams</v>
      </c>
      <c r="P27" s="15" cm="1">
        <f t="array" ref="P27">_xlfn.XLOOKUP(I27&amp;N27,rosterSpots!B:B&amp;rosterSpots!D:D,rosterSpots!E:E,"")</f>
        <v>3</v>
      </c>
      <c r="Q27" s="15">
        <f xml:space="preserve"> (playerGameStats!$R27 * 2) + (playerGameStats!$S27 * 3) + (playerGameStats!$T27)</f>
        <v>23</v>
      </c>
      <c r="R27" s="15">
        <v>5</v>
      </c>
      <c r="S27" s="15">
        <v>4</v>
      </c>
      <c r="T27" s="15">
        <v>1</v>
      </c>
      <c r="U27" s="18">
        <v>1</v>
      </c>
    </row>
    <row r="28" spans="1:21" x14ac:dyDescent="0.25">
      <c r="A28" s="19" t="s">
        <v>351</v>
      </c>
      <c r="B28" s="20">
        <v>2026</v>
      </c>
      <c r="C28" s="20" t="s">
        <v>36</v>
      </c>
      <c r="D28" s="20">
        <v>1</v>
      </c>
      <c r="E28" s="21">
        <v>46112</v>
      </c>
      <c r="F28" s="22">
        <v>0.8125</v>
      </c>
      <c r="G28" s="20" t="s">
        <v>18</v>
      </c>
      <c r="H28" s="20" t="s">
        <v>310</v>
      </c>
      <c r="I28" s="20" t="s">
        <v>298</v>
      </c>
      <c r="J28" s="20" t="s">
        <v>12</v>
      </c>
      <c r="K28" s="20" t="s">
        <v>46</v>
      </c>
      <c r="L28" s="20" t="s">
        <v>13</v>
      </c>
      <c r="M28" s="20" t="s">
        <v>47</v>
      </c>
      <c r="N28" s="20" t="s">
        <v>257</v>
      </c>
      <c r="O28" s="20" t="str">
        <f>_xlfn.XLOOKUP(N28,players!A:A,players!D:D,"")</f>
        <v>Janos Vajda</v>
      </c>
      <c r="P28" s="20" cm="1">
        <f t="array" ref="P28">_xlfn.XLOOKUP(I28&amp;N28,rosterSpots!B:B&amp;rosterSpots!D:D,rosterSpots!E:E,"")</f>
        <v>5</v>
      </c>
      <c r="Q28" s="20">
        <f xml:space="preserve"> (playerGameStats!$R28 * 2) + (playerGameStats!$S28 * 3) + (playerGameStats!$T28)</f>
        <v>0</v>
      </c>
      <c r="R28" s="20">
        <v>0</v>
      </c>
      <c r="S28" s="20">
        <v>0</v>
      </c>
      <c r="T28" s="20">
        <v>0</v>
      </c>
      <c r="U28" s="23">
        <v>0</v>
      </c>
    </row>
    <row r="29" spans="1:21" x14ac:dyDescent="0.25">
      <c r="A29" s="14" t="s">
        <v>351</v>
      </c>
      <c r="B29" s="15">
        <v>2026</v>
      </c>
      <c r="C29" s="15" t="s">
        <v>36</v>
      </c>
      <c r="D29" s="15">
        <v>1</v>
      </c>
      <c r="E29" s="16">
        <v>46112</v>
      </c>
      <c r="F29" s="17">
        <v>0.8125</v>
      </c>
      <c r="G29" s="15" t="s">
        <v>18</v>
      </c>
      <c r="H29" s="15" t="s">
        <v>310</v>
      </c>
      <c r="I29" s="15" t="s">
        <v>298</v>
      </c>
      <c r="J29" s="15" t="s">
        <v>12</v>
      </c>
      <c r="K29" s="15" t="s">
        <v>46</v>
      </c>
      <c r="L29" s="15" t="s">
        <v>13</v>
      </c>
      <c r="M29" s="15" t="s">
        <v>47</v>
      </c>
      <c r="N29" s="15" t="s">
        <v>258</v>
      </c>
      <c r="O29" s="15" t="str">
        <f>_xlfn.XLOOKUP(N29,players!A:A,players!D:D,"")</f>
        <v>Brett Ziller</v>
      </c>
      <c r="P29" s="15" cm="1">
        <f t="array" ref="P29">_xlfn.XLOOKUP(I29&amp;N29,rosterSpots!B:B&amp;rosterSpots!D:D,rosterSpots!E:E,"")</f>
        <v>8</v>
      </c>
      <c r="Q29" s="15">
        <f xml:space="preserve"> (playerGameStats!$R29 * 2) + (playerGameStats!$S29 * 3) + (playerGameStats!$T29)</f>
        <v>12</v>
      </c>
      <c r="R29" s="15">
        <v>4</v>
      </c>
      <c r="S29" s="15">
        <v>1</v>
      </c>
      <c r="T29" s="15">
        <v>1</v>
      </c>
      <c r="U29" s="18">
        <v>2</v>
      </c>
    </row>
    <row r="30" spans="1:21" x14ac:dyDescent="0.25">
      <c r="A30" s="19" t="s">
        <v>351</v>
      </c>
      <c r="B30" s="20">
        <v>2026</v>
      </c>
      <c r="C30" s="20" t="s">
        <v>36</v>
      </c>
      <c r="D30" s="20">
        <v>1</v>
      </c>
      <c r="E30" s="21">
        <v>46112</v>
      </c>
      <c r="F30" s="22">
        <v>0.8125</v>
      </c>
      <c r="G30" s="20" t="s">
        <v>18</v>
      </c>
      <c r="H30" s="20" t="s">
        <v>310</v>
      </c>
      <c r="I30" s="20" t="s">
        <v>298</v>
      </c>
      <c r="J30" s="20" t="s">
        <v>12</v>
      </c>
      <c r="K30" s="20" t="s">
        <v>46</v>
      </c>
      <c r="L30" s="20" t="s">
        <v>13</v>
      </c>
      <c r="M30" s="20" t="s">
        <v>47</v>
      </c>
      <c r="N30" s="20" t="s">
        <v>254</v>
      </c>
      <c r="O30" s="20" t="str">
        <f>_xlfn.XLOOKUP(N30,players!A:A,players!D:D,"")</f>
        <v>Kelechi Madu</v>
      </c>
      <c r="P30" s="20" cm="1">
        <f t="array" ref="P30">_xlfn.XLOOKUP(I30&amp;N30,rosterSpots!B:B&amp;rosterSpots!D:D,rosterSpots!E:E,"")</f>
        <v>13</v>
      </c>
      <c r="Q30" s="20">
        <f xml:space="preserve"> (playerGameStats!$R30 * 2) + (playerGameStats!$S30 * 3) + (playerGameStats!$T30)</f>
        <v>0</v>
      </c>
      <c r="R30" s="20">
        <v>0</v>
      </c>
      <c r="S30" s="20">
        <v>0</v>
      </c>
      <c r="T30" s="20">
        <v>0</v>
      </c>
      <c r="U30" s="23">
        <v>0</v>
      </c>
    </row>
    <row r="31" spans="1:21" x14ac:dyDescent="0.25">
      <c r="A31" s="14" t="s">
        <v>351</v>
      </c>
      <c r="B31" s="15">
        <v>2026</v>
      </c>
      <c r="C31" s="15" t="s">
        <v>36</v>
      </c>
      <c r="D31" s="15">
        <v>1</v>
      </c>
      <c r="E31" s="16">
        <v>46112</v>
      </c>
      <c r="F31" s="17">
        <v>0.8125</v>
      </c>
      <c r="G31" s="15" t="s">
        <v>18</v>
      </c>
      <c r="H31" s="15" t="s">
        <v>310</v>
      </c>
      <c r="I31" s="15" t="s">
        <v>298</v>
      </c>
      <c r="J31" s="15" t="s">
        <v>12</v>
      </c>
      <c r="K31" s="15" t="s">
        <v>46</v>
      </c>
      <c r="L31" s="15" t="s">
        <v>13</v>
      </c>
      <c r="M31" s="15" t="s">
        <v>47</v>
      </c>
      <c r="N31" s="15" t="s">
        <v>256</v>
      </c>
      <c r="O31" s="15" t="str">
        <f>_xlfn.XLOOKUP(N31,players!A:A,players!D:D,"")</f>
        <v>Sragvi Tirumala</v>
      </c>
      <c r="P31" s="15" cm="1">
        <f t="array" ref="P31">_xlfn.XLOOKUP(I31&amp;N31,rosterSpots!B:B&amp;rosterSpots!D:D,rosterSpots!E:E,"")</f>
        <v>17</v>
      </c>
      <c r="Q31" s="15">
        <f xml:space="preserve"> (playerGameStats!$R31 * 2) + (playerGameStats!$S31 * 3) + (playerGameStats!$T31)</f>
        <v>5</v>
      </c>
      <c r="R31" s="15">
        <v>1</v>
      </c>
      <c r="S31" s="15">
        <v>1</v>
      </c>
      <c r="T31" s="15">
        <v>0</v>
      </c>
      <c r="U31" s="18">
        <v>0</v>
      </c>
    </row>
    <row r="32" spans="1:21" x14ac:dyDescent="0.25">
      <c r="A32" s="19" t="s">
        <v>351</v>
      </c>
      <c r="B32" s="20">
        <v>2026</v>
      </c>
      <c r="C32" s="20" t="s">
        <v>36</v>
      </c>
      <c r="D32" s="20">
        <v>1</v>
      </c>
      <c r="E32" s="21">
        <v>46112</v>
      </c>
      <c r="F32" s="22">
        <v>0.8125</v>
      </c>
      <c r="G32" s="20" t="s">
        <v>18</v>
      </c>
      <c r="H32" s="20" t="s">
        <v>310</v>
      </c>
      <c r="I32" s="20" t="s">
        <v>298</v>
      </c>
      <c r="J32" s="20" t="s">
        <v>12</v>
      </c>
      <c r="K32" s="20" t="s">
        <v>46</v>
      </c>
      <c r="L32" s="20" t="s">
        <v>13</v>
      </c>
      <c r="M32" s="20" t="s">
        <v>47</v>
      </c>
      <c r="N32" s="20" t="s">
        <v>259</v>
      </c>
      <c r="O32" s="20" t="str">
        <f>_xlfn.XLOOKUP(N32,players!A:A,players!D:D,"")</f>
        <v>Allen Harley</v>
      </c>
      <c r="P32" s="20" cm="1">
        <f t="array" ref="P32">_xlfn.XLOOKUP(I32&amp;N32,rosterSpots!B:B&amp;rosterSpots!D:D,rosterSpots!E:E,"")</f>
        <v>21</v>
      </c>
      <c r="Q32" s="20">
        <f xml:space="preserve"> (playerGameStats!$R32 * 2) + (playerGameStats!$S32 * 3) + (playerGameStats!$T32)</f>
        <v>6</v>
      </c>
      <c r="R32" s="20">
        <v>3</v>
      </c>
      <c r="S32" s="20">
        <v>0</v>
      </c>
      <c r="T32" s="20">
        <v>0</v>
      </c>
      <c r="U32" s="23">
        <v>1</v>
      </c>
    </row>
    <row r="33" spans="1:21" x14ac:dyDescent="0.25">
      <c r="A33" s="14" t="s">
        <v>351</v>
      </c>
      <c r="B33" s="15">
        <v>2026</v>
      </c>
      <c r="C33" s="15" t="s">
        <v>36</v>
      </c>
      <c r="D33" s="15">
        <v>1</v>
      </c>
      <c r="E33" s="16">
        <v>46112</v>
      </c>
      <c r="F33" s="17">
        <v>0.8125</v>
      </c>
      <c r="G33" s="15" t="s">
        <v>18</v>
      </c>
      <c r="H33" s="15" t="s">
        <v>310</v>
      </c>
      <c r="I33" s="15" t="s">
        <v>298</v>
      </c>
      <c r="J33" s="15" t="s">
        <v>12</v>
      </c>
      <c r="K33" s="15" t="s">
        <v>46</v>
      </c>
      <c r="L33" s="15" t="s">
        <v>13</v>
      </c>
      <c r="M33" s="15" t="s">
        <v>47</v>
      </c>
      <c r="N33" s="15" t="s">
        <v>261</v>
      </c>
      <c r="O33" s="15" t="str">
        <f>_xlfn.XLOOKUP(N33,players!A:A,players!D:D,"")</f>
        <v>Ricky Riaz</v>
      </c>
      <c r="P33" s="15" cm="1">
        <f t="array" ref="P33">_xlfn.XLOOKUP(I33&amp;N33,rosterSpots!B:B&amp;rosterSpots!D:D,rosterSpots!E:E,"")</f>
        <v>30</v>
      </c>
      <c r="Q33" s="15">
        <f xml:space="preserve"> (playerGameStats!$R33 * 2) + (playerGameStats!$S33 * 3) + (playerGameStats!$T33)</f>
        <v>0</v>
      </c>
      <c r="R33" s="15">
        <v>0</v>
      </c>
      <c r="S33" s="15">
        <v>0</v>
      </c>
      <c r="T33" s="15">
        <v>0</v>
      </c>
      <c r="U33" s="18">
        <v>0</v>
      </c>
    </row>
    <row r="34" spans="1:21" x14ac:dyDescent="0.25">
      <c r="A34" s="19" t="s">
        <v>350</v>
      </c>
      <c r="B34" s="20">
        <v>2026</v>
      </c>
      <c r="C34" s="20" t="s">
        <v>36</v>
      </c>
      <c r="D34" s="20">
        <v>2</v>
      </c>
      <c r="E34" s="21">
        <v>46125</v>
      </c>
      <c r="F34" s="22">
        <v>0.77083333333333337</v>
      </c>
      <c r="G34" s="20" t="s">
        <v>18</v>
      </c>
      <c r="H34" s="20" t="s">
        <v>310</v>
      </c>
      <c r="I34" s="20" t="s">
        <v>300</v>
      </c>
      <c r="J34" s="20" t="s">
        <v>16</v>
      </c>
      <c r="K34" s="20" t="s">
        <v>44</v>
      </c>
      <c r="L34" s="20" t="s">
        <v>14</v>
      </c>
      <c r="M34" s="20" t="s">
        <v>43</v>
      </c>
      <c r="N34" s="20" t="s">
        <v>281</v>
      </c>
      <c r="O34" s="20" t="str">
        <f>_xlfn.XLOOKUP(N34,players!A:A,players!D:D,"")</f>
        <v>Tommy Zheng</v>
      </c>
      <c r="P34" s="20" cm="1">
        <f t="array" ref="P34">_xlfn.XLOOKUP(I34&amp;N34,rosterSpots!B:B&amp;rosterSpots!D:D,rosterSpots!E:E,"")</f>
        <v>5</v>
      </c>
      <c r="Q34" s="20">
        <f xml:space="preserve"> (playerGameStats!$R34 * 2) + (playerGameStats!$S34 * 3) + (playerGameStats!$T34)</f>
        <v>0</v>
      </c>
      <c r="R34" s="20">
        <v>0</v>
      </c>
      <c r="S34" s="20">
        <v>0</v>
      </c>
      <c r="T34" s="20">
        <v>0</v>
      </c>
      <c r="U34" s="23">
        <v>0</v>
      </c>
    </row>
    <row r="35" spans="1:21" x14ac:dyDescent="0.25">
      <c r="A35" s="14" t="s">
        <v>350</v>
      </c>
      <c r="B35" s="15">
        <v>2026</v>
      </c>
      <c r="C35" s="15" t="s">
        <v>36</v>
      </c>
      <c r="D35" s="15">
        <v>2</v>
      </c>
      <c r="E35" s="16">
        <v>46125</v>
      </c>
      <c r="F35" s="17">
        <v>0.77083333333333337</v>
      </c>
      <c r="G35" s="15" t="s">
        <v>18</v>
      </c>
      <c r="H35" s="15" t="s">
        <v>310</v>
      </c>
      <c r="I35" s="15" t="s">
        <v>300</v>
      </c>
      <c r="J35" s="15" t="s">
        <v>16</v>
      </c>
      <c r="K35" s="15" t="s">
        <v>44</v>
      </c>
      <c r="L35" s="15" t="s">
        <v>14</v>
      </c>
      <c r="M35" s="15" t="s">
        <v>43</v>
      </c>
      <c r="N35" s="15" t="s">
        <v>276</v>
      </c>
      <c r="O35" s="15" t="str">
        <f>_xlfn.XLOOKUP(N35,players!A:A,players!D:D,"")</f>
        <v>Matt Kasper</v>
      </c>
      <c r="P35" s="15" cm="1">
        <f t="array" ref="P35">_xlfn.XLOOKUP(I35&amp;N35,rosterSpots!B:B&amp;rosterSpots!D:D,rosterSpots!E:E,"")</f>
        <v>7</v>
      </c>
      <c r="Q35" s="15">
        <f xml:space="preserve"> (playerGameStats!$R35 * 2) + (playerGameStats!$S35 * 3) + (playerGameStats!$T35)</f>
        <v>2</v>
      </c>
      <c r="R35" s="15">
        <v>1</v>
      </c>
      <c r="S35" s="15">
        <v>0</v>
      </c>
      <c r="T35" s="15">
        <v>0</v>
      </c>
      <c r="U35" s="18">
        <v>0</v>
      </c>
    </row>
    <row r="36" spans="1:21" x14ac:dyDescent="0.25">
      <c r="A36" s="19" t="s">
        <v>350</v>
      </c>
      <c r="B36" s="20">
        <v>2026</v>
      </c>
      <c r="C36" s="20" t="s">
        <v>36</v>
      </c>
      <c r="D36" s="20">
        <v>2</v>
      </c>
      <c r="E36" s="21">
        <v>46125</v>
      </c>
      <c r="F36" s="22">
        <v>0.77083333333333337</v>
      </c>
      <c r="G36" s="20" t="s">
        <v>18</v>
      </c>
      <c r="H36" s="20" t="s">
        <v>310</v>
      </c>
      <c r="I36" s="20" t="s">
        <v>300</v>
      </c>
      <c r="J36" s="20" t="s">
        <v>16</v>
      </c>
      <c r="K36" s="20" t="s">
        <v>44</v>
      </c>
      <c r="L36" s="20" t="s">
        <v>14</v>
      </c>
      <c r="M36" s="20" t="s">
        <v>43</v>
      </c>
      <c r="N36" s="20" t="s">
        <v>275</v>
      </c>
      <c r="O36" s="20" t="str">
        <f>_xlfn.XLOOKUP(N36,players!A:A,players!D:D,"")</f>
        <v>Thomas Hays</v>
      </c>
      <c r="P36" s="20" cm="1">
        <f t="array" ref="P36">_xlfn.XLOOKUP(I36&amp;N36,rosterSpots!B:B&amp;rosterSpots!D:D,rosterSpots!E:E,"")</f>
        <v>8</v>
      </c>
      <c r="Q36" s="20">
        <f xml:space="preserve"> (playerGameStats!$R36 * 2) + (playerGameStats!$S36 * 3) + (playerGameStats!$T36)</f>
        <v>13</v>
      </c>
      <c r="R36" s="20">
        <v>2</v>
      </c>
      <c r="S36" s="20">
        <v>3</v>
      </c>
      <c r="T36" s="20">
        <v>0</v>
      </c>
      <c r="U36" s="23">
        <v>0</v>
      </c>
    </row>
    <row r="37" spans="1:21" x14ac:dyDescent="0.25">
      <c r="A37" s="14" t="s">
        <v>350</v>
      </c>
      <c r="B37" s="15">
        <v>2026</v>
      </c>
      <c r="C37" s="15" t="s">
        <v>36</v>
      </c>
      <c r="D37" s="15">
        <v>2</v>
      </c>
      <c r="E37" s="16">
        <v>46125</v>
      </c>
      <c r="F37" s="17">
        <v>0.77083333333333337</v>
      </c>
      <c r="G37" s="15" t="s">
        <v>18</v>
      </c>
      <c r="H37" s="15" t="s">
        <v>310</v>
      </c>
      <c r="I37" s="15" t="s">
        <v>300</v>
      </c>
      <c r="J37" s="15" t="s">
        <v>16</v>
      </c>
      <c r="K37" s="15" t="s">
        <v>44</v>
      </c>
      <c r="L37" s="15" t="s">
        <v>14</v>
      </c>
      <c r="M37" s="15" t="s">
        <v>43</v>
      </c>
      <c r="N37" s="15" t="s">
        <v>278</v>
      </c>
      <c r="O37" s="15" t="str">
        <f>_xlfn.XLOOKUP(N37,players!A:A,players!D:D,"")</f>
        <v>Douglas Alexander</v>
      </c>
      <c r="P37" s="15" cm="1">
        <f t="array" ref="P37">_xlfn.XLOOKUP(I37&amp;N37,rosterSpots!B:B&amp;rosterSpots!D:D,rosterSpots!E:E,"")</f>
        <v>10</v>
      </c>
      <c r="Q37" s="15">
        <f xml:space="preserve"> (playerGameStats!$R37 * 2) + (playerGameStats!$S37 * 3) + (playerGameStats!$T37)</f>
        <v>11</v>
      </c>
      <c r="R37" s="15">
        <v>4</v>
      </c>
      <c r="S37" s="15">
        <v>0</v>
      </c>
      <c r="T37" s="15">
        <v>3</v>
      </c>
      <c r="U37" s="18">
        <v>6</v>
      </c>
    </row>
    <row r="38" spans="1:21" x14ac:dyDescent="0.25">
      <c r="A38" s="19" t="s">
        <v>350</v>
      </c>
      <c r="B38" s="20">
        <v>2026</v>
      </c>
      <c r="C38" s="20" t="s">
        <v>36</v>
      </c>
      <c r="D38" s="20">
        <v>2</v>
      </c>
      <c r="E38" s="21">
        <v>46125</v>
      </c>
      <c r="F38" s="22">
        <v>0.77083333333333337</v>
      </c>
      <c r="G38" s="20" t="s">
        <v>18</v>
      </c>
      <c r="H38" s="20" t="s">
        <v>310</v>
      </c>
      <c r="I38" s="20" t="s">
        <v>300</v>
      </c>
      <c r="J38" s="20" t="s">
        <v>16</v>
      </c>
      <c r="K38" s="20" t="s">
        <v>44</v>
      </c>
      <c r="L38" s="20" t="s">
        <v>14</v>
      </c>
      <c r="M38" s="20" t="s">
        <v>43</v>
      </c>
      <c r="N38" s="20" t="s">
        <v>282</v>
      </c>
      <c r="O38" s="20" t="str">
        <f>_xlfn.XLOOKUP(N38,players!A:A,players!D:D,"")</f>
        <v>Guillermo Jacquez</v>
      </c>
      <c r="P38" s="20" cm="1">
        <f t="array" ref="P38">_xlfn.XLOOKUP(I38&amp;N38,rosterSpots!B:B&amp;rosterSpots!D:D,rosterSpots!E:E,"")</f>
        <v>13</v>
      </c>
      <c r="Q38" s="20">
        <f xml:space="preserve"> (playerGameStats!$R38 * 2) + (playerGameStats!$S38 * 3) + (playerGameStats!$T38)</f>
        <v>2</v>
      </c>
      <c r="R38" s="20">
        <v>1</v>
      </c>
      <c r="S38" s="20">
        <v>0</v>
      </c>
      <c r="T38" s="20">
        <v>0</v>
      </c>
      <c r="U38" s="23">
        <v>1</v>
      </c>
    </row>
    <row r="39" spans="1:21" x14ac:dyDescent="0.25">
      <c r="A39" s="14" t="s">
        <v>350</v>
      </c>
      <c r="B39" s="15">
        <v>2026</v>
      </c>
      <c r="C39" s="15" t="s">
        <v>36</v>
      </c>
      <c r="D39" s="15">
        <v>2</v>
      </c>
      <c r="E39" s="16">
        <v>46125</v>
      </c>
      <c r="F39" s="17">
        <v>0.77083333333333337</v>
      </c>
      <c r="G39" s="15" t="s">
        <v>18</v>
      </c>
      <c r="H39" s="15" t="s">
        <v>310</v>
      </c>
      <c r="I39" s="15" t="s">
        <v>300</v>
      </c>
      <c r="J39" s="15" t="s">
        <v>16</v>
      </c>
      <c r="K39" s="15" t="s">
        <v>44</v>
      </c>
      <c r="L39" s="15" t="s">
        <v>14</v>
      </c>
      <c r="M39" s="15" t="s">
        <v>43</v>
      </c>
      <c r="N39" s="15" t="s">
        <v>274</v>
      </c>
      <c r="O39" s="15" t="str">
        <f>_xlfn.XLOOKUP(N39,players!A:A,players!D:D,"")</f>
        <v>David Hays</v>
      </c>
      <c r="P39" s="15" cm="1">
        <f t="array" ref="P39">_xlfn.XLOOKUP(I39&amp;N39,rosterSpots!B:B&amp;rosterSpots!D:D,rosterSpots!E:E,"")</f>
        <v>17</v>
      </c>
      <c r="Q39" s="15">
        <f xml:space="preserve"> (playerGameStats!$R39 * 2) + (playerGameStats!$S39 * 3) + (playerGameStats!$T39)</f>
        <v>5</v>
      </c>
      <c r="R39" s="15">
        <v>1</v>
      </c>
      <c r="S39" s="15">
        <v>1</v>
      </c>
      <c r="T39" s="15">
        <v>0</v>
      </c>
      <c r="U39" s="18">
        <v>0</v>
      </c>
    </row>
    <row r="40" spans="1:21" x14ac:dyDescent="0.25">
      <c r="A40" s="19" t="s">
        <v>350</v>
      </c>
      <c r="B40" s="20">
        <v>2026</v>
      </c>
      <c r="C40" s="20" t="s">
        <v>36</v>
      </c>
      <c r="D40" s="20">
        <v>2</v>
      </c>
      <c r="E40" s="21">
        <v>46125</v>
      </c>
      <c r="F40" s="22">
        <v>0.77083333333333337</v>
      </c>
      <c r="G40" s="20" t="s">
        <v>18</v>
      </c>
      <c r="H40" s="20" t="s">
        <v>310</v>
      </c>
      <c r="I40" s="20" t="s">
        <v>299</v>
      </c>
      <c r="J40" s="20" t="s">
        <v>14</v>
      </c>
      <c r="K40" s="20" t="s">
        <v>43</v>
      </c>
      <c r="L40" s="20" t="s">
        <v>16</v>
      </c>
      <c r="M40" s="20" t="s">
        <v>44</v>
      </c>
      <c r="N40" s="20" t="s">
        <v>268</v>
      </c>
      <c r="O40" s="20" t="str">
        <f>_xlfn.XLOOKUP(N40,players!A:A,players!D:D,"")</f>
        <v>Bassang Atoulelou</v>
      </c>
      <c r="P40" s="20" cm="1">
        <f t="array" ref="P40">_xlfn.XLOOKUP(I40&amp;N40,rosterSpots!B:B&amp;rosterSpots!D:D,rosterSpots!E:E,"")</f>
        <v>2</v>
      </c>
      <c r="Q40" s="20">
        <f xml:space="preserve"> (playerGameStats!$R40 * 2) + (playerGameStats!$S40 * 3) + (playerGameStats!$T40)</f>
        <v>6</v>
      </c>
      <c r="R40" s="20">
        <v>1</v>
      </c>
      <c r="S40" s="20">
        <v>1</v>
      </c>
      <c r="T40" s="20">
        <v>1</v>
      </c>
      <c r="U40" s="23">
        <v>2</v>
      </c>
    </row>
    <row r="41" spans="1:21" x14ac:dyDescent="0.25">
      <c r="A41" s="14" t="s">
        <v>350</v>
      </c>
      <c r="B41" s="15">
        <v>2026</v>
      </c>
      <c r="C41" s="15" t="s">
        <v>36</v>
      </c>
      <c r="D41" s="15">
        <v>2</v>
      </c>
      <c r="E41" s="16">
        <v>46125</v>
      </c>
      <c r="F41" s="17">
        <v>0.77083333333333337</v>
      </c>
      <c r="G41" s="15" t="s">
        <v>18</v>
      </c>
      <c r="H41" s="15" t="s">
        <v>310</v>
      </c>
      <c r="I41" s="15" t="s">
        <v>299</v>
      </c>
      <c r="J41" s="15" t="s">
        <v>14</v>
      </c>
      <c r="K41" s="15" t="s">
        <v>43</v>
      </c>
      <c r="L41" s="15" t="s">
        <v>16</v>
      </c>
      <c r="M41" s="15" t="s">
        <v>44</v>
      </c>
      <c r="N41" s="15" t="s">
        <v>267</v>
      </c>
      <c r="O41" s="15" t="str">
        <f>_xlfn.XLOOKUP(N41,players!A:A,players!D:D,"")</f>
        <v>Keshon Coleman</v>
      </c>
      <c r="P41" s="15" cm="1">
        <f t="array" ref="P41">_xlfn.XLOOKUP(I41&amp;N41,rosterSpots!B:B&amp;rosterSpots!D:D,rosterSpots!E:E,"")</f>
        <v>4</v>
      </c>
      <c r="Q41" s="15">
        <f xml:space="preserve"> (playerGameStats!$R41 * 2) + (playerGameStats!$S41 * 3) + (playerGameStats!$T41)</f>
        <v>7</v>
      </c>
      <c r="R41" s="15">
        <v>2</v>
      </c>
      <c r="S41" s="15">
        <v>1</v>
      </c>
      <c r="T41" s="15">
        <v>0</v>
      </c>
      <c r="U41" s="18">
        <v>0</v>
      </c>
    </row>
    <row r="42" spans="1:21" x14ac:dyDescent="0.25">
      <c r="A42" s="19" t="s">
        <v>350</v>
      </c>
      <c r="B42" s="20">
        <v>2026</v>
      </c>
      <c r="C42" s="20" t="s">
        <v>36</v>
      </c>
      <c r="D42" s="20">
        <v>2</v>
      </c>
      <c r="E42" s="21">
        <v>46125</v>
      </c>
      <c r="F42" s="22">
        <v>0.77083333333333337</v>
      </c>
      <c r="G42" s="20" t="s">
        <v>18</v>
      </c>
      <c r="H42" s="20" t="s">
        <v>310</v>
      </c>
      <c r="I42" s="20" t="s">
        <v>299</v>
      </c>
      <c r="J42" s="20" t="s">
        <v>14</v>
      </c>
      <c r="K42" s="20" t="s">
        <v>43</v>
      </c>
      <c r="L42" s="20" t="s">
        <v>16</v>
      </c>
      <c r="M42" s="20" t="s">
        <v>44</v>
      </c>
      <c r="N42" s="20" t="s">
        <v>264</v>
      </c>
      <c r="O42" s="20" t="str">
        <f>_xlfn.XLOOKUP(N42,players!A:A,players!D:D,"")</f>
        <v/>
      </c>
      <c r="P42" s="20" cm="1">
        <f t="array" ref="P42">_xlfn.XLOOKUP(I42&amp;N42,rosterSpots!B:B&amp;rosterSpots!D:D,rosterSpots!E:E,"")</f>
        <v>6</v>
      </c>
      <c r="Q42" s="20">
        <f xml:space="preserve"> (playerGameStats!$R42 * 2) + (playerGameStats!$S42 * 3) + (playerGameStats!$T42)</f>
        <v>7</v>
      </c>
      <c r="R42" s="20">
        <v>2</v>
      </c>
      <c r="S42" s="20">
        <v>1</v>
      </c>
      <c r="T42" s="20">
        <v>0</v>
      </c>
      <c r="U42" s="23">
        <v>0</v>
      </c>
    </row>
    <row r="43" spans="1:21" x14ac:dyDescent="0.25">
      <c r="A43" s="14" t="s">
        <v>350</v>
      </c>
      <c r="B43" s="15">
        <v>2026</v>
      </c>
      <c r="C43" s="15" t="s">
        <v>36</v>
      </c>
      <c r="D43" s="15">
        <v>2</v>
      </c>
      <c r="E43" s="16">
        <v>46125</v>
      </c>
      <c r="F43" s="17">
        <v>0.77083333333333337</v>
      </c>
      <c r="G43" s="15" t="s">
        <v>18</v>
      </c>
      <c r="H43" s="15" t="s">
        <v>310</v>
      </c>
      <c r="I43" s="15" t="s">
        <v>299</v>
      </c>
      <c r="J43" s="15" t="s">
        <v>14</v>
      </c>
      <c r="K43" s="15" t="s">
        <v>43</v>
      </c>
      <c r="L43" s="15" t="s">
        <v>16</v>
      </c>
      <c r="M43" s="15" t="s">
        <v>44</v>
      </c>
      <c r="N43" s="15" t="s">
        <v>265</v>
      </c>
      <c r="O43" s="15" t="str">
        <f>_xlfn.XLOOKUP(N43,players!A:A,players!D:D,"")</f>
        <v>Ben Golden</v>
      </c>
      <c r="P43" s="15" cm="1">
        <f t="array" ref="P43">_xlfn.XLOOKUP(I43&amp;N43,rosterSpots!B:B&amp;rosterSpots!D:D,rosterSpots!E:E,"")</f>
        <v>8</v>
      </c>
      <c r="Q43" s="15">
        <f xml:space="preserve"> (playerGameStats!$R43 * 2) + (playerGameStats!$S43 * 3) + (playerGameStats!$T43)</f>
        <v>4</v>
      </c>
      <c r="R43" s="15">
        <v>2</v>
      </c>
      <c r="S43" s="15">
        <v>0</v>
      </c>
      <c r="T43" s="15">
        <v>0</v>
      </c>
      <c r="U43" s="18">
        <v>0</v>
      </c>
    </row>
    <row r="44" spans="1:21" x14ac:dyDescent="0.25">
      <c r="A44" s="19" t="s">
        <v>350</v>
      </c>
      <c r="B44" s="20">
        <v>2026</v>
      </c>
      <c r="C44" s="20" t="s">
        <v>36</v>
      </c>
      <c r="D44" s="20">
        <v>2</v>
      </c>
      <c r="E44" s="21">
        <v>46125</v>
      </c>
      <c r="F44" s="22">
        <v>0.77083333333333337</v>
      </c>
      <c r="G44" s="20" t="s">
        <v>18</v>
      </c>
      <c r="H44" s="20" t="s">
        <v>310</v>
      </c>
      <c r="I44" s="20" t="s">
        <v>299</v>
      </c>
      <c r="J44" s="20" t="s">
        <v>14</v>
      </c>
      <c r="K44" s="20" t="s">
        <v>43</v>
      </c>
      <c r="L44" s="20" t="s">
        <v>16</v>
      </c>
      <c r="M44" s="20" t="s">
        <v>44</v>
      </c>
      <c r="N44" s="20" t="s">
        <v>262</v>
      </c>
      <c r="O44" s="20" t="str">
        <f>_xlfn.XLOOKUP(N44,players!A:A,players!D:D,"")</f>
        <v>Connor Thomas</v>
      </c>
      <c r="P44" s="20" cm="1">
        <f t="array" ref="P44">_xlfn.XLOOKUP(I44&amp;N44,rosterSpots!B:B&amp;rosterSpots!D:D,rosterSpots!E:E,"")</f>
        <v>9</v>
      </c>
      <c r="Q44" s="20">
        <f xml:space="preserve"> (playerGameStats!$R44 * 2) + (playerGameStats!$S44 * 3) + (playerGameStats!$T44)</f>
        <v>9</v>
      </c>
      <c r="R44" s="20">
        <v>3</v>
      </c>
      <c r="S44" s="20">
        <v>0</v>
      </c>
      <c r="T44" s="20">
        <v>3</v>
      </c>
      <c r="U44" s="23">
        <v>4</v>
      </c>
    </row>
    <row r="45" spans="1:21" x14ac:dyDescent="0.25">
      <c r="A45" s="14" t="s">
        <v>350</v>
      </c>
      <c r="B45" s="15">
        <v>2026</v>
      </c>
      <c r="C45" s="15" t="s">
        <v>36</v>
      </c>
      <c r="D45" s="15">
        <v>2</v>
      </c>
      <c r="E45" s="16">
        <v>46125</v>
      </c>
      <c r="F45" s="17">
        <v>0.77083333333333337</v>
      </c>
      <c r="G45" s="15" t="s">
        <v>18</v>
      </c>
      <c r="H45" s="15" t="s">
        <v>310</v>
      </c>
      <c r="I45" s="15" t="s">
        <v>299</v>
      </c>
      <c r="J45" s="15" t="s">
        <v>14</v>
      </c>
      <c r="K45" s="15" t="s">
        <v>43</v>
      </c>
      <c r="L45" s="15" t="s">
        <v>16</v>
      </c>
      <c r="M45" s="15" t="s">
        <v>44</v>
      </c>
      <c r="N45" s="15" t="s">
        <v>263</v>
      </c>
      <c r="O45" s="15" t="str">
        <f>_xlfn.XLOOKUP(N45,players!A:A,players!D:D,"")</f>
        <v>Connor Holm</v>
      </c>
      <c r="P45" s="15" cm="1">
        <f t="array" ref="P45">_xlfn.XLOOKUP(I45&amp;N45,rosterSpots!B:B&amp;rosterSpots!D:D,rosterSpots!E:E,"")</f>
        <v>12</v>
      </c>
      <c r="Q45" s="15">
        <f xml:space="preserve"> (playerGameStats!$R45 * 2) + (playerGameStats!$S45 * 3) + (playerGameStats!$T45)</f>
        <v>6</v>
      </c>
      <c r="R45" s="15">
        <v>0</v>
      </c>
      <c r="S45" s="15">
        <v>2</v>
      </c>
      <c r="T45" s="15">
        <v>0</v>
      </c>
      <c r="U45" s="18">
        <v>2</v>
      </c>
    </row>
    <row r="46" spans="1:21" x14ac:dyDescent="0.25">
      <c r="A46" s="19" t="s">
        <v>350</v>
      </c>
      <c r="B46" s="20">
        <v>2026</v>
      </c>
      <c r="C46" s="20" t="s">
        <v>36</v>
      </c>
      <c r="D46" s="20">
        <v>2</v>
      </c>
      <c r="E46" s="21">
        <v>46125</v>
      </c>
      <c r="F46" s="22">
        <v>0.77083333333333337</v>
      </c>
      <c r="G46" s="20" t="s">
        <v>18</v>
      </c>
      <c r="H46" s="20" t="s">
        <v>310</v>
      </c>
      <c r="I46" s="20" t="s">
        <v>299</v>
      </c>
      <c r="J46" s="20" t="s">
        <v>14</v>
      </c>
      <c r="K46" s="20" t="s">
        <v>43</v>
      </c>
      <c r="L46" s="20" t="s">
        <v>16</v>
      </c>
      <c r="M46" s="20" t="s">
        <v>44</v>
      </c>
      <c r="N46" s="20" t="s">
        <v>266</v>
      </c>
      <c r="O46" s="20" t="str">
        <f>_xlfn.XLOOKUP(N46,players!A:A,players!D:D,"")</f>
        <v>Ian McCaw</v>
      </c>
      <c r="P46" s="20" cm="1">
        <f t="array" ref="P46">_xlfn.XLOOKUP(I46&amp;N46,rosterSpots!B:B&amp;rosterSpots!D:D,rosterSpots!E:E,"")</f>
        <v>50</v>
      </c>
      <c r="Q46" s="20">
        <f xml:space="preserve"> (playerGameStats!$R46 * 2) + (playerGameStats!$S46 * 3) + (playerGameStats!$T46)</f>
        <v>9</v>
      </c>
      <c r="R46" s="20">
        <v>3</v>
      </c>
      <c r="S46" s="20">
        <v>0</v>
      </c>
      <c r="T46" s="20">
        <v>3</v>
      </c>
      <c r="U46" s="23">
        <v>6</v>
      </c>
    </row>
    <row r="47" spans="1:21" x14ac:dyDescent="0.25">
      <c r="A47" s="14" t="s">
        <v>349</v>
      </c>
      <c r="B47" s="15">
        <v>2026</v>
      </c>
      <c r="C47" s="15" t="s">
        <v>36</v>
      </c>
      <c r="D47" s="15">
        <v>2</v>
      </c>
      <c r="E47" s="16">
        <v>46125</v>
      </c>
      <c r="F47" s="17">
        <v>0.8125</v>
      </c>
      <c r="G47" s="15" t="s">
        <v>18</v>
      </c>
      <c r="H47" s="15" t="s">
        <v>310</v>
      </c>
      <c r="I47" s="15" t="s">
        <v>301</v>
      </c>
      <c r="J47" s="15" t="s">
        <v>17</v>
      </c>
      <c r="K47" s="15" t="s">
        <v>49</v>
      </c>
      <c r="L47" s="15" t="s">
        <v>12</v>
      </c>
      <c r="M47" s="15" t="s">
        <v>46</v>
      </c>
      <c r="N47" s="15" t="s">
        <v>285</v>
      </c>
      <c r="O47" s="15" t="str">
        <f>_xlfn.XLOOKUP(N47,players!A:A,players!D:D,"")</f>
        <v>Raeid Choudhury</v>
      </c>
      <c r="P47" s="15" cm="1">
        <f t="array" ref="P47">_xlfn.XLOOKUP(I47&amp;N47,rosterSpots!B:B&amp;rosterSpots!D:D,rosterSpots!E:E,"")</f>
        <v>1</v>
      </c>
      <c r="Q47" s="15">
        <f xml:space="preserve"> (playerGameStats!$R47 * 2) + (playerGameStats!$S47 * 3) + (playerGameStats!$T47)</f>
        <v>12</v>
      </c>
      <c r="R47" s="15">
        <v>0</v>
      </c>
      <c r="S47" s="15">
        <v>4</v>
      </c>
      <c r="T47" s="15">
        <v>0</v>
      </c>
      <c r="U47" s="18">
        <v>0</v>
      </c>
    </row>
    <row r="48" spans="1:21" x14ac:dyDescent="0.25">
      <c r="A48" s="19" t="s">
        <v>349</v>
      </c>
      <c r="B48" s="20">
        <v>2026</v>
      </c>
      <c r="C48" s="20" t="s">
        <v>36</v>
      </c>
      <c r="D48" s="20">
        <v>2</v>
      </c>
      <c r="E48" s="21">
        <v>46125</v>
      </c>
      <c r="F48" s="22">
        <v>0.8125</v>
      </c>
      <c r="G48" s="20" t="s">
        <v>18</v>
      </c>
      <c r="H48" s="20" t="s">
        <v>310</v>
      </c>
      <c r="I48" s="20" t="s">
        <v>301</v>
      </c>
      <c r="J48" s="20" t="s">
        <v>17</v>
      </c>
      <c r="K48" s="20" t="s">
        <v>49</v>
      </c>
      <c r="L48" s="20" t="s">
        <v>12</v>
      </c>
      <c r="M48" s="20" t="s">
        <v>46</v>
      </c>
      <c r="N48" s="20" t="s">
        <v>287</v>
      </c>
      <c r="O48" s="20" t="str">
        <f>_xlfn.XLOOKUP(N48,players!A:A,players!D:D,"")</f>
        <v>Phil Chenard</v>
      </c>
      <c r="P48" s="20" cm="1">
        <f t="array" ref="P48">_xlfn.XLOOKUP(I48&amp;N48,rosterSpots!B:B&amp;rosterSpots!D:D,rosterSpots!E:E,"")</f>
        <v>3</v>
      </c>
      <c r="Q48" s="20">
        <f xml:space="preserve"> (playerGameStats!$R48 * 2) + (playerGameStats!$S48 * 3) + (playerGameStats!$T48)</f>
        <v>0</v>
      </c>
      <c r="R48" s="20">
        <v>0</v>
      </c>
      <c r="S48" s="20">
        <v>0</v>
      </c>
      <c r="T48" s="20">
        <v>0</v>
      </c>
      <c r="U48" s="23">
        <v>0</v>
      </c>
    </row>
    <row r="49" spans="1:21" x14ac:dyDescent="0.25">
      <c r="A49" s="14" t="s">
        <v>349</v>
      </c>
      <c r="B49" s="15">
        <v>2026</v>
      </c>
      <c r="C49" s="15" t="s">
        <v>36</v>
      </c>
      <c r="D49" s="15">
        <v>2</v>
      </c>
      <c r="E49" s="16">
        <v>46125</v>
      </c>
      <c r="F49" s="17">
        <v>0.8125</v>
      </c>
      <c r="G49" s="15" t="s">
        <v>18</v>
      </c>
      <c r="H49" s="15" t="s">
        <v>310</v>
      </c>
      <c r="I49" s="15" t="s">
        <v>301</v>
      </c>
      <c r="J49" s="15" t="s">
        <v>17</v>
      </c>
      <c r="K49" s="15" t="s">
        <v>49</v>
      </c>
      <c r="L49" s="15" t="s">
        <v>12</v>
      </c>
      <c r="M49" s="15" t="s">
        <v>46</v>
      </c>
      <c r="N49" s="15" t="s">
        <v>290</v>
      </c>
      <c r="O49" s="15" t="str">
        <f>_xlfn.XLOOKUP(N49,players!A:A,players!D:D,"")</f>
        <v>Cray Cordero</v>
      </c>
      <c r="P49" s="15" cm="1">
        <f t="array" ref="P49">_xlfn.XLOOKUP(I49&amp;N49,rosterSpots!B:B&amp;rosterSpots!D:D,rosterSpots!E:E,"")</f>
        <v>8</v>
      </c>
      <c r="Q49" s="15">
        <f xml:space="preserve"> (playerGameStats!$R49 * 2) + (playerGameStats!$S49 * 3) + (playerGameStats!$T49)</f>
        <v>0</v>
      </c>
      <c r="R49" s="15">
        <v>0</v>
      </c>
      <c r="S49" s="15">
        <v>0</v>
      </c>
      <c r="T49" s="15">
        <v>0</v>
      </c>
      <c r="U49" s="18">
        <v>0</v>
      </c>
    </row>
    <row r="50" spans="1:21" x14ac:dyDescent="0.25">
      <c r="A50" s="19" t="s">
        <v>349</v>
      </c>
      <c r="B50" s="20">
        <v>2026</v>
      </c>
      <c r="C50" s="20" t="s">
        <v>36</v>
      </c>
      <c r="D50" s="20">
        <v>2</v>
      </c>
      <c r="E50" s="21">
        <v>46125</v>
      </c>
      <c r="F50" s="22">
        <v>0.8125</v>
      </c>
      <c r="G50" s="20" t="s">
        <v>18</v>
      </c>
      <c r="H50" s="20" t="s">
        <v>310</v>
      </c>
      <c r="I50" s="20" t="s">
        <v>301</v>
      </c>
      <c r="J50" s="20" t="s">
        <v>17</v>
      </c>
      <c r="K50" s="20" t="s">
        <v>49</v>
      </c>
      <c r="L50" s="20" t="s">
        <v>12</v>
      </c>
      <c r="M50" s="20" t="s">
        <v>46</v>
      </c>
      <c r="N50" s="20" t="s">
        <v>284</v>
      </c>
      <c r="O50" s="20" t="str">
        <f>_xlfn.XLOOKUP(N50,players!A:A,players!D:D,"")</f>
        <v>Ebrahim Mohamed</v>
      </c>
      <c r="P50" s="20" cm="1">
        <f t="array" ref="P50">_xlfn.XLOOKUP(I50&amp;N50,rosterSpots!B:B&amp;rosterSpots!D:D,rosterSpots!E:E,"")</f>
        <v>9</v>
      </c>
      <c r="Q50" s="20">
        <f xml:space="preserve"> (playerGameStats!$R50 * 2) + (playerGameStats!$S50 * 3) + (playerGameStats!$T50)</f>
        <v>0</v>
      </c>
      <c r="R50" s="20">
        <v>0</v>
      </c>
      <c r="S50" s="20">
        <v>0</v>
      </c>
      <c r="T50" s="20">
        <v>0</v>
      </c>
      <c r="U50" s="23">
        <v>0</v>
      </c>
    </row>
    <row r="51" spans="1:21" x14ac:dyDescent="0.25">
      <c r="A51" s="14" t="s">
        <v>349</v>
      </c>
      <c r="B51" s="15">
        <v>2026</v>
      </c>
      <c r="C51" s="15" t="s">
        <v>36</v>
      </c>
      <c r="D51" s="15">
        <v>2</v>
      </c>
      <c r="E51" s="16">
        <v>46125</v>
      </c>
      <c r="F51" s="17">
        <v>0.8125</v>
      </c>
      <c r="G51" s="15" t="s">
        <v>18</v>
      </c>
      <c r="H51" s="15" t="s">
        <v>310</v>
      </c>
      <c r="I51" s="15" t="s">
        <v>301</v>
      </c>
      <c r="J51" s="15" t="s">
        <v>17</v>
      </c>
      <c r="K51" s="15" t="s">
        <v>49</v>
      </c>
      <c r="L51" s="15" t="s">
        <v>12</v>
      </c>
      <c r="M51" s="15" t="s">
        <v>46</v>
      </c>
      <c r="N51" s="15" t="s">
        <v>288</v>
      </c>
      <c r="O51" s="15" t="str">
        <f>_xlfn.XLOOKUP(N51,players!A:A,players!D:D,"")</f>
        <v>Vanardo Banks</v>
      </c>
      <c r="P51" s="15" cm="1">
        <f t="array" ref="P51">_xlfn.XLOOKUP(I51&amp;N51,rosterSpots!B:B&amp;rosterSpots!D:D,rosterSpots!E:E,"")</f>
        <v>10</v>
      </c>
      <c r="Q51" s="15">
        <f xml:space="preserve"> (playerGameStats!$R51 * 2) + (playerGameStats!$S51 * 3) + (playerGameStats!$T51)</f>
        <v>3</v>
      </c>
      <c r="R51" s="15">
        <v>0</v>
      </c>
      <c r="S51" s="15">
        <v>1</v>
      </c>
      <c r="T51" s="15">
        <v>0</v>
      </c>
      <c r="U51" s="18">
        <v>0</v>
      </c>
    </row>
    <row r="52" spans="1:21" x14ac:dyDescent="0.25">
      <c r="A52" s="19" t="s">
        <v>349</v>
      </c>
      <c r="B52" s="20">
        <v>2026</v>
      </c>
      <c r="C52" s="20" t="s">
        <v>36</v>
      </c>
      <c r="D52" s="20">
        <v>2</v>
      </c>
      <c r="E52" s="21">
        <v>46125</v>
      </c>
      <c r="F52" s="22">
        <v>0.8125</v>
      </c>
      <c r="G52" s="20" t="s">
        <v>18</v>
      </c>
      <c r="H52" s="20" t="s">
        <v>310</v>
      </c>
      <c r="I52" s="20" t="s">
        <v>301</v>
      </c>
      <c r="J52" s="20" t="s">
        <v>17</v>
      </c>
      <c r="K52" s="20" t="s">
        <v>49</v>
      </c>
      <c r="L52" s="20" t="s">
        <v>12</v>
      </c>
      <c r="M52" s="20" t="s">
        <v>46</v>
      </c>
      <c r="N52" s="20" t="s">
        <v>283</v>
      </c>
      <c r="O52" s="20" t="str">
        <f>_xlfn.XLOOKUP(N52,players!A:A,players!D:D,"")</f>
        <v>Jordan Williams</v>
      </c>
      <c r="P52" s="20" cm="1">
        <f t="array" ref="P52">_xlfn.XLOOKUP(I52&amp;N52,rosterSpots!B:B&amp;rosterSpots!D:D,rosterSpots!E:E,"")</f>
        <v>15</v>
      </c>
      <c r="Q52" s="20">
        <f xml:space="preserve"> (playerGameStats!$R52 * 2) + (playerGameStats!$S52 * 3) + (playerGameStats!$T52)</f>
        <v>5</v>
      </c>
      <c r="R52" s="20">
        <v>2</v>
      </c>
      <c r="S52" s="20">
        <v>0</v>
      </c>
      <c r="T52" s="20">
        <v>1</v>
      </c>
      <c r="U52" s="23">
        <v>2</v>
      </c>
    </row>
    <row r="53" spans="1:21" x14ac:dyDescent="0.25">
      <c r="A53" s="14" t="s">
        <v>349</v>
      </c>
      <c r="B53" s="15">
        <v>2026</v>
      </c>
      <c r="C53" s="15" t="s">
        <v>36</v>
      </c>
      <c r="D53" s="15">
        <v>2</v>
      </c>
      <c r="E53" s="16">
        <v>46125</v>
      </c>
      <c r="F53" s="17">
        <v>0.8125</v>
      </c>
      <c r="G53" s="15" t="s">
        <v>18</v>
      </c>
      <c r="H53" s="15" t="s">
        <v>310</v>
      </c>
      <c r="I53" s="15" t="s">
        <v>301</v>
      </c>
      <c r="J53" s="15" t="s">
        <v>17</v>
      </c>
      <c r="K53" s="15" t="s">
        <v>49</v>
      </c>
      <c r="L53" s="15" t="s">
        <v>12</v>
      </c>
      <c r="M53" s="15" t="s">
        <v>46</v>
      </c>
      <c r="N53" s="15" t="s">
        <v>291</v>
      </c>
      <c r="O53" s="15" t="str">
        <f>_xlfn.XLOOKUP(N53,players!A:A,players!D:D,"")</f>
        <v>Nkenna Opara</v>
      </c>
      <c r="P53" s="15" cm="1">
        <f t="array" ref="P53">_xlfn.XLOOKUP(I53&amp;N53,rosterSpots!B:B&amp;rosterSpots!D:D,rosterSpots!E:E,"")</f>
        <v>23</v>
      </c>
      <c r="Q53" s="15">
        <f xml:space="preserve"> (playerGameStats!$R53 * 2) + (playerGameStats!$S53 * 3) + (playerGameStats!$T53)</f>
        <v>18</v>
      </c>
      <c r="R53" s="15">
        <v>4</v>
      </c>
      <c r="S53" s="15">
        <v>3</v>
      </c>
      <c r="T53" s="15">
        <v>1</v>
      </c>
      <c r="U53" s="18">
        <v>5</v>
      </c>
    </row>
    <row r="54" spans="1:21" x14ac:dyDescent="0.25">
      <c r="A54" s="19" t="s">
        <v>349</v>
      </c>
      <c r="B54" s="20">
        <v>2026</v>
      </c>
      <c r="C54" s="20" t="s">
        <v>36</v>
      </c>
      <c r="D54" s="20">
        <v>2</v>
      </c>
      <c r="E54" s="21">
        <v>46125</v>
      </c>
      <c r="F54" s="22">
        <v>0.8125</v>
      </c>
      <c r="G54" s="20" t="s">
        <v>18</v>
      </c>
      <c r="H54" s="20" t="s">
        <v>310</v>
      </c>
      <c r="I54" s="20" t="s">
        <v>301</v>
      </c>
      <c r="J54" s="20" t="s">
        <v>17</v>
      </c>
      <c r="K54" s="20" t="s">
        <v>49</v>
      </c>
      <c r="L54" s="20" t="s">
        <v>12</v>
      </c>
      <c r="M54" s="20" t="s">
        <v>46</v>
      </c>
      <c r="N54" s="20" t="s">
        <v>286</v>
      </c>
      <c r="O54" s="20" t="str">
        <f>_xlfn.XLOOKUP(N54,players!A:A,players!D:D,"")</f>
        <v>Grant Blasiak</v>
      </c>
      <c r="P54" s="20" cm="1">
        <f t="array" ref="P54">_xlfn.XLOOKUP(I54&amp;N54,rosterSpots!B:B&amp;rosterSpots!D:D,rosterSpots!E:E,"")</f>
        <v>55</v>
      </c>
      <c r="Q54" s="20">
        <f xml:space="preserve"> (playerGameStats!$R54 * 2) + (playerGameStats!$S54 * 3) + (playerGameStats!$T54)</f>
        <v>3</v>
      </c>
      <c r="R54" s="20">
        <v>0</v>
      </c>
      <c r="S54" s="20">
        <v>1</v>
      </c>
      <c r="T54" s="20">
        <v>0</v>
      </c>
      <c r="U54" s="23">
        <v>0</v>
      </c>
    </row>
    <row r="55" spans="1:21" x14ac:dyDescent="0.25">
      <c r="A55" s="14" t="s">
        <v>349</v>
      </c>
      <c r="B55" s="15">
        <v>2026</v>
      </c>
      <c r="C55" s="15" t="s">
        <v>36</v>
      </c>
      <c r="D55" s="15">
        <v>2</v>
      </c>
      <c r="E55" s="16">
        <v>46125</v>
      </c>
      <c r="F55" s="17">
        <v>0.8125</v>
      </c>
      <c r="G55" s="15" t="s">
        <v>18</v>
      </c>
      <c r="H55" s="15" t="s">
        <v>310</v>
      </c>
      <c r="I55" s="15" t="s">
        <v>298</v>
      </c>
      <c r="J55" s="15" t="s">
        <v>12</v>
      </c>
      <c r="K55" s="15" t="s">
        <v>46</v>
      </c>
      <c r="L55" s="15" t="s">
        <v>17</v>
      </c>
      <c r="M55" s="15" t="s">
        <v>49</v>
      </c>
      <c r="N55" s="15" t="s">
        <v>260</v>
      </c>
      <c r="O55" s="15" t="str">
        <f>_xlfn.XLOOKUP(N55,players!A:A,players!D:D,"")</f>
        <v>Manthan Tailor</v>
      </c>
      <c r="P55" s="15" cm="1">
        <f t="array" ref="P55">_xlfn.XLOOKUP(I55&amp;N55,rosterSpots!B:B&amp;rosterSpots!D:D,rosterSpots!E:E,"")</f>
        <v>2</v>
      </c>
      <c r="Q55" s="15">
        <f xml:space="preserve"> (playerGameStats!$R55 * 2) + (playerGameStats!$S55 * 3) + (playerGameStats!$T55)</f>
        <v>2</v>
      </c>
      <c r="R55" s="15">
        <v>1</v>
      </c>
      <c r="S55" s="15">
        <v>0</v>
      </c>
      <c r="T55" s="15">
        <v>0</v>
      </c>
      <c r="U55" s="18">
        <v>0</v>
      </c>
    </row>
    <row r="56" spans="1:21" x14ac:dyDescent="0.25">
      <c r="A56" s="19" t="s">
        <v>349</v>
      </c>
      <c r="B56" s="20">
        <v>2026</v>
      </c>
      <c r="C56" s="20" t="s">
        <v>36</v>
      </c>
      <c r="D56" s="20">
        <v>2</v>
      </c>
      <c r="E56" s="21">
        <v>46125</v>
      </c>
      <c r="F56" s="22">
        <v>0.8125</v>
      </c>
      <c r="G56" s="20" t="s">
        <v>18</v>
      </c>
      <c r="H56" s="20" t="s">
        <v>310</v>
      </c>
      <c r="I56" s="20" t="s">
        <v>298</v>
      </c>
      <c r="J56" s="20" t="s">
        <v>12</v>
      </c>
      <c r="K56" s="20" t="s">
        <v>46</v>
      </c>
      <c r="L56" s="20" t="s">
        <v>17</v>
      </c>
      <c r="M56" s="20" t="s">
        <v>49</v>
      </c>
      <c r="N56" s="20" t="s">
        <v>253</v>
      </c>
      <c r="O56" s="20" t="str">
        <f>_xlfn.XLOOKUP(N56,players!A:A,players!D:D,"")</f>
        <v>Doug Adams</v>
      </c>
      <c r="P56" s="20" cm="1">
        <f t="array" ref="P56">_xlfn.XLOOKUP(I56&amp;N56,rosterSpots!B:B&amp;rosterSpots!D:D,rosterSpots!E:E,"")</f>
        <v>3</v>
      </c>
      <c r="Q56" s="20">
        <f xml:space="preserve"> (playerGameStats!$R56 * 2) + (playerGameStats!$S56 * 3) + (playerGameStats!$T56)</f>
        <v>5</v>
      </c>
      <c r="R56" s="20">
        <v>1</v>
      </c>
      <c r="S56" s="20">
        <v>1</v>
      </c>
      <c r="T56" s="20">
        <v>0</v>
      </c>
      <c r="U56" s="23">
        <v>0</v>
      </c>
    </row>
    <row r="57" spans="1:21" x14ac:dyDescent="0.25">
      <c r="A57" s="14" t="s">
        <v>349</v>
      </c>
      <c r="B57" s="15">
        <v>2026</v>
      </c>
      <c r="C57" s="15" t="s">
        <v>36</v>
      </c>
      <c r="D57" s="15">
        <v>2</v>
      </c>
      <c r="E57" s="16">
        <v>46125</v>
      </c>
      <c r="F57" s="17">
        <v>0.8125</v>
      </c>
      <c r="G57" s="15" t="s">
        <v>18</v>
      </c>
      <c r="H57" s="15" t="s">
        <v>310</v>
      </c>
      <c r="I57" s="15" t="s">
        <v>298</v>
      </c>
      <c r="J57" s="15" t="s">
        <v>12</v>
      </c>
      <c r="K57" s="15" t="s">
        <v>46</v>
      </c>
      <c r="L57" s="15" t="s">
        <v>17</v>
      </c>
      <c r="M57" s="15" t="s">
        <v>49</v>
      </c>
      <c r="N57" s="15" t="s">
        <v>257</v>
      </c>
      <c r="O57" s="15" t="str">
        <f>_xlfn.XLOOKUP(N57,players!A:A,players!D:D,"")</f>
        <v>Janos Vajda</v>
      </c>
      <c r="P57" s="15" cm="1">
        <f t="array" ref="P57">_xlfn.XLOOKUP(I57&amp;N57,rosterSpots!B:B&amp;rosterSpots!D:D,rosterSpots!E:E,"")</f>
        <v>5</v>
      </c>
      <c r="Q57" s="15">
        <f xml:space="preserve"> (playerGameStats!$R57 * 2) + (playerGameStats!$S57 * 3) + (playerGameStats!$T57)</f>
        <v>2</v>
      </c>
      <c r="R57" s="15">
        <v>1</v>
      </c>
      <c r="S57" s="15">
        <v>0</v>
      </c>
      <c r="T57" s="15">
        <v>0</v>
      </c>
      <c r="U57" s="18">
        <v>0</v>
      </c>
    </row>
    <row r="58" spans="1:21" x14ac:dyDescent="0.25">
      <c r="A58" s="19" t="s">
        <v>349</v>
      </c>
      <c r="B58" s="20">
        <v>2026</v>
      </c>
      <c r="C58" s="20" t="s">
        <v>36</v>
      </c>
      <c r="D58" s="20">
        <v>2</v>
      </c>
      <c r="E58" s="21">
        <v>46125</v>
      </c>
      <c r="F58" s="22">
        <v>0.8125</v>
      </c>
      <c r="G58" s="20" t="s">
        <v>18</v>
      </c>
      <c r="H58" s="20" t="s">
        <v>310</v>
      </c>
      <c r="I58" s="20" t="s">
        <v>298</v>
      </c>
      <c r="J58" s="20" t="s">
        <v>12</v>
      </c>
      <c r="K58" s="20" t="s">
        <v>46</v>
      </c>
      <c r="L58" s="20" t="s">
        <v>17</v>
      </c>
      <c r="M58" s="20" t="s">
        <v>49</v>
      </c>
      <c r="N58" s="20" t="s">
        <v>255</v>
      </c>
      <c r="O58" s="20" t="str">
        <f>_xlfn.XLOOKUP(N58,players!A:A,players!D:D,"")</f>
        <v>Connor Stine</v>
      </c>
      <c r="P58" s="20" cm="1">
        <f t="array" ref="P58">_xlfn.XLOOKUP(I58&amp;N58,rosterSpots!B:B&amp;rosterSpots!D:D,rosterSpots!E:E,"")</f>
        <v>14</v>
      </c>
      <c r="Q58" s="20">
        <f xml:space="preserve"> (playerGameStats!$R58 * 2) + (playerGameStats!$S58 * 3) + (playerGameStats!$T58)</f>
        <v>9</v>
      </c>
      <c r="R58" s="20">
        <v>3</v>
      </c>
      <c r="S58" s="20">
        <v>1</v>
      </c>
      <c r="T58" s="20">
        <v>0</v>
      </c>
      <c r="U58" s="23">
        <v>0</v>
      </c>
    </row>
    <row r="59" spans="1:21" x14ac:dyDescent="0.25">
      <c r="A59" s="14" t="s">
        <v>349</v>
      </c>
      <c r="B59" s="15">
        <v>2026</v>
      </c>
      <c r="C59" s="15" t="s">
        <v>36</v>
      </c>
      <c r="D59" s="15">
        <v>2</v>
      </c>
      <c r="E59" s="16">
        <v>46125</v>
      </c>
      <c r="F59" s="17">
        <v>0.8125</v>
      </c>
      <c r="G59" s="15" t="s">
        <v>18</v>
      </c>
      <c r="H59" s="15" t="s">
        <v>310</v>
      </c>
      <c r="I59" s="15" t="s">
        <v>298</v>
      </c>
      <c r="J59" s="15" t="s">
        <v>12</v>
      </c>
      <c r="K59" s="15" t="s">
        <v>46</v>
      </c>
      <c r="L59" s="15" t="s">
        <v>17</v>
      </c>
      <c r="M59" s="15" t="s">
        <v>49</v>
      </c>
      <c r="N59" s="15" t="s">
        <v>256</v>
      </c>
      <c r="O59" s="15" t="str">
        <f>_xlfn.XLOOKUP(N59,players!A:A,players!D:D,"")</f>
        <v>Sragvi Tirumala</v>
      </c>
      <c r="P59" s="15" cm="1">
        <f t="array" ref="P59">_xlfn.XLOOKUP(I59&amp;N59,rosterSpots!B:B&amp;rosterSpots!D:D,rosterSpots!E:E,"")</f>
        <v>17</v>
      </c>
      <c r="Q59" s="15">
        <f xml:space="preserve"> (playerGameStats!$R59 * 2) + (playerGameStats!$S59 * 3) + (playerGameStats!$T59)</f>
        <v>8</v>
      </c>
      <c r="R59" s="15">
        <v>4</v>
      </c>
      <c r="S59" s="15">
        <v>0</v>
      </c>
      <c r="T59" s="15">
        <v>0</v>
      </c>
      <c r="U59" s="18">
        <v>0</v>
      </c>
    </row>
    <row r="60" spans="1:21" x14ac:dyDescent="0.25">
      <c r="A60" s="19" t="s">
        <v>349</v>
      </c>
      <c r="B60" s="20">
        <v>2026</v>
      </c>
      <c r="C60" s="20" t="s">
        <v>36</v>
      </c>
      <c r="D60" s="20">
        <v>2</v>
      </c>
      <c r="E60" s="21">
        <v>46125</v>
      </c>
      <c r="F60" s="22">
        <v>0.8125</v>
      </c>
      <c r="G60" s="20" t="s">
        <v>18</v>
      </c>
      <c r="H60" s="20" t="s">
        <v>310</v>
      </c>
      <c r="I60" s="20" t="s">
        <v>298</v>
      </c>
      <c r="J60" s="20" t="s">
        <v>12</v>
      </c>
      <c r="K60" s="20" t="s">
        <v>46</v>
      </c>
      <c r="L60" s="20" t="s">
        <v>17</v>
      </c>
      <c r="M60" s="20" t="s">
        <v>49</v>
      </c>
      <c r="N60" s="20" t="s">
        <v>259</v>
      </c>
      <c r="O60" s="20" t="str">
        <f>_xlfn.XLOOKUP(N60,players!A:A,players!D:D,"")</f>
        <v>Allen Harley</v>
      </c>
      <c r="P60" s="20" cm="1">
        <f t="array" ref="P60">_xlfn.XLOOKUP(I60&amp;N60,rosterSpots!B:B&amp;rosterSpots!D:D,rosterSpots!E:E,"")</f>
        <v>21</v>
      </c>
      <c r="Q60" s="20">
        <f xml:space="preserve"> (playerGameStats!$R60 * 2) + (playerGameStats!$S60 * 3) + (playerGameStats!$T60)</f>
        <v>12</v>
      </c>
      <c r="R60" s="20">
        <v>5</v>
      </c>
      <c r="S60" s="20">
        <v>0</v>
      </c>
      <c r="T60" s="20">
        <v>2</v>
      </c>
      <c r="U60" s="23">
        <v>4</v>
      </c>
    </row>
    <row r="61" spans="1:21" x14ac:dyDescent="0.25">
      <c r="A61" s="14" t="s">
        <v>348</v>
      </c>
      <c r="B61" s="15">
        <v>2026</v>
      </c>
      <c r="C61" s="15" t="s">
        <v>36</v>
      </c>
      <c r="D61" s="15">
        <v>2</v>
      </c>
      <c r="E61" s="16">
        <v>46125</v>
      </c>
      <c r="F61" s="17">
        <v>0.85416666666666663</v>
      </c>
      <c r="G61" s="15" t="s">
        <v>18</v>
      </c>
      <c r="H61" s="15" t="s">
        <v>310</v>
      </c>
      <c r="I61" s="15" t="s">
        <v>297</v>
      </c>
      <c r="J61" s="15" t="s">
        <v>13</v>
      </c>
      <c r="K61" s="15" t="s">
        <v>47</v>
      </c>
      <c r="L61" s="15" t="s">
        <v>10</v>
      </c>
      <c r="M61" s="15" t="s">
        <v>42</v>
      </c>
      <c r="N61" s="15" t="s">
        <v>249</v>
      </c>
      <c r="O61" s="15" t="str">
        <f>_xlfn.XLOOKUP(N61,players!A:A,players!D:D,"")</f>
        <v>Chris Ellis</v>
      </c>
      <c r="P61" s="15" cm="1">
        <f t="array" ref="P61">_xlfn.XLOOKUP(I61&amp;N61,rosterSpots!B:B&amp;rosterSpots!D:D,rosterSpots!E:E,"")</f>
        <v>0</v>
      </c>
      <c r="Q61" s="15">
        <f xml:space="preserve"> (playerGameStats!$R61 * 2) + (playerGameStats!$S61 * 3) + (playerGameStats!$T61)</f>
        <v>6</v>
      </c>
      <c r="R61" s="15">
        <v>1</v>
      </c>
      <c r="S61" s="15">
        <v>1</v>
      </c>
      <c r="T61" s="15">
        <v>1</v>
      </c>
      <c r="U61" s="18">
        <v>2</v>
      </c>
    </row>
    <row r="62" spans="1:21" x14ac:dyDescent="0.25">
      <c r="A62" s="19" t="s">
        <v>348</v>
      </c>
      <c r="B62" s="20">
        <v>2026</v>
      </c>
      <c r="C62" s="20" t="s">
        <v>36</v>
      </c>
      <c r="D62" s="20">
        <v>2</v>
      </c>
      <c r="E62" s="21">
        <v>46125</v>
      </c>
      <c r="F62" s="22">
        <v>0.85416666666666663</v>
      </c>
      <c r="G62" s="20" t="s">
        <v>18</v>
      </c>
      <c r="H62" s="20" t="s">
        <v>310</v>
      </c>
      <c r="I62" s="20" t="s">
        <v>297</v>
      </c>
      <c r="J62" s="20" t="s">
        <v>13</v>
      </c>
      <c r="K62" s="20" t="s">
        <v>47</v>
      </c>
      <c r="L62" s="20" t="s">
        <v>10</v>
      </c>
      <c r="M62" s="20" t="s">
        <v>42</v>
      </c>
      <c r="N62" s="20" t="s">
        <v>248</v>
      </c>
      <c r="O62" s="20" t="str">
        <f>_xlfn.XLOOKUP(N62,players!A:A,players!D:D,"")</f>
        <v>Grant Clark</v>
      </c>
      <c r="P62" s="20" cm="1">
        <f t="array" ref="P62">_xlfn.XLOOKUP(I62&amp;N62,rosterSpots!B:B&amp;rosterSpots!D:D,rosterSpots!E:E,"")</f>
        <v>1</v>
      </c>
      <c r="Q62" s="20">
        <f xml:space="preserve"> (playerGameStats!$R62 * 2) + (playerGameStats!$S62 * 3) + (playerGameStats!$T62)</f>
        <v>12</v>
      </c>
      <c r="R62" s="20">
        <v>3</v>
      </c>
      <c r="S62" s="20">
        <v>2</v>
      </c>
      <c r="T62" s="20">
        <v>0</v>
      </c>
      <c r="U62" s="23">
        <v>0</v>
      </c>
    </row>
    <row r="63" spans="1:21" x14ac:dyDescent="0.25">
      <c r="A63" s="14" t="s">
        <v>348</v>
      </c>
      <c r="B63" s="15">
        <v>2026</v>
      </c>
      <c r="C63" s="15" t="s">
        <v>36</v>
      </c>
      <c r="D63" s="15">
        <v>2</v>
      </c>
      <c r="E63" s="16">
        <v>46125</v>
      </c>
      <c r="F63" s="17">
        <v>0.85416666666666663</v>
      </c>
      <c r="G63" s="15" t="s">
        <v>18</v>
      </c>
      <c r="H63" s="15" t="s">
        <v>310</v>
      </c>
      <c r="I63" s="15" t="s">
        <v>297</v>
      </c>
      <c r="J63" s="15" t="s">
        <v>13</v>
      </c>
      <c r="K63" s="15" t="s">
        <v>47</v>
      </c>
      <c r="L63" s="15" t="s">
        <v>10</v>
      </c>
      <c r="M63" s="15" t="s">
        <v>42</v>
      </c>
      <c r="N63" s="15" t="s">
        <v>252</v>
      </c>
      <c r="O63" s="15" t="str">
        <f>_xlfn.XLOOKUP(N63,players!A:A,players!D:D,"")</f>
        <v>Sean Lane</v>
      </c>
      <c r="P63" s="15" cm="1">
        <f t="array" ref="P63">_xlfn.XLOOKUP(I63&amp;N63,rosterSpots!B:B&amp;rosterSpots!D:D,rosterSpots!E:E,"")</f>
        <v>3</v>
      </c>
      <c r="Q63" s="15">
        <f xml:space="preserve"> (playerGameStats!$R63 * 2) + (playerGameStats!$S63 * 3) + (playerGameStats!$T63)</f>
        <v>0</v>
      </c>
      <c r="R63" s="15">
        <v>0</v>
      </c>
      <c r="S63" s="15">
        <v>0</v>
      </c>
      <c r="T63" s="15">
        <v>0</v>
      </c>
      <c r="U63" s="18">
        <v>0</v>
      </c>
    </row>
    <row r="64" spans="1:21" x14ac:dyDescent="0.25">
      <c r="A64" s="19" t="s">
        <v>348</v>
      </c>
      <c r="B64" s="20">
        <v>2026</v>
      </c>
      <c r="C64" s="20" t="s">
        <v>36</v>
      </c>
      <c r="D64" s="20">
        <v>2</v>
      </c>
      <c r="E64" s="21">
        <v>46125</v>
      </c>
      <c r="F64" s="22">
        <v>0.85416666666666663</v>
      </c>
      <c r="G64" s="20" t="s">
        <v>18</v>
      </c>
      <c r="H64" s="20" t="s">
        <v>310</v>
      </c>
      <c r="I64" s="20" t="s">
        <v>297</v>
      </c>
      <c r="J64" s="20" t="s">
        <v>13</v>
      </c>
      <c r="K64" s="20" t="s">
        <v>47</v>
      </c>
      <c r="L64" s="20" t="s">
        <v>10</v>
      </c>
      <c r="M64" s="20" t="s">
        <v>42</v>
      </c>
      <c r="N64" s="20" t="s">
        <v>244</v>
      </c>
      <c r="O64" s="20" t="str">
        <f>_xlfn.XLOOKUP(N64,players!A:A,players!D:D,"")</f>
        <v>Eli Ratliff</v>
      </c>
      <c r="P64" s="20" cm="1">
        <f t="array" ref="P64">_xlfn.XLOOKUP(I64&amp;N64,rosterSpots!B:B&amp;rosterSpots!D:D,rosterSpots!E:E,"")</f>
        <v>4</v>
      </c>
      <c r="Q64" s="20">
        <f xml:space="preserve"> (playerGameStats!$R64 * 2) + (playerGameStats!$S64 * 3) + (playerGameStats!$T64)</f>
        <v>3</v>
      </c>
      <c r="R64" s="20">
        <v>0</v>
      </c>
      <c r="S64" s="20">
        <v>1</v>
      </c>
      <c r="T64" s="20">
        <v>0</v>
      </c>
      <c r="U64" s="23">
        <v>0</v>
      </c>
    </row>
    <row r="65" spans="1:21" x14ac:dyDescent="0.25">
      <c r="A65" s="14" t="s">
        <v>348</v>
      </c>
      <c r="B65" s="15">
        <v>2026</v>
      </c>
      <c r="C65" s="15" t="s">
        <v>36</v>
      </c>
      <c r="D65" s="15">
        <v>2</v>
      </c>
      <c r="E65" s="16">
        <v>46125</v>
      </c>
      <c r="F65" s="17">
        <v>0.85416666666666663</v>
      </c>
      <c r="G65" s="15" t="s">
        <v>18</v>
      </c>
      <c r="H65" s="15" t="s">
        <v>310</v>
      </c>
      <c r="I65" s="15" t="s">
        <v>297</v>
      </c>
      <c r="J65" s="15" t="s">
        <v>13</v>
      </c>
      <c r="K65" s="15" t="s">
        <v>47</v>
      </c>
      <c r="L65" s="15" t="s">
        <v>10</v>
      </c>
      <c r="M65" s="15" t="s">
        <v>42</v>
      </c>
      <c r="N65" s="15" t="s">
        <v>251</v>
      </c>
      <c r="O65" s="15" t="str">
        <f>_xlfn.XLOOKUP(N65,players!A:A,players!D:D,"")</f>
        <v>Kyle Kelly</v>
      </c>
      <c r="P65" s="15" cm="1">
        <f t="array" ref="P65">_xlfn.XLOOKUP(I65&amp;N65,rosterSpots!B:B&amp;rosterSpots!D:D,rosterSpots!E:E,"")</f>
        <v>13</v>
      </c>
      <c r="Q65" s="15">
        <f xml:space="preserve"> (playerGameStats!$R65 * 2) + (playerGameStats!$S65 * 3) + (playerGameStats!$T65)</f>
        <v>5</v>
      </c>
      <c r="R65" s="15">
        <v>1</v>
      </c>
      <c r="S65" s="15">
        <v>1</v>
      </c>
      <c r="T65" s="15">
        <v>0</v>
      </c>
      <c r="U65" s="18">
        <v>0</v>
      </c>
    </row>
    <row r="66" spans="1:21" x14ac:dyDescent="0.25">
      <c r="A66" s="19" t="s">
        <v>348</v>
      </c>
      <c r="B66" s="20">
        <v>2026</v>
      </c>
      <c r="C66" s="20" t="s">
        <v>36</v>
      </c>
      <c r="D66" s="20">
        <v>2</v>
      </c>
      <c r="E66" s="21">
        <v>46125</v>
      </c>
      <c r="F66" s="22">
        <v>0.85416666666666663</v>
      </c>
      <c r="G66" s="20" t="s">
        <v>18</v>
      </c>
      <c r="H66" s="20" t="s">
        <v>310</v>
      </c>
      <c r="I66" s="20" t="s">
        <v>297</v>
      </c>
      <c r="J66" s="20" t="s">
        <v>13</v>
      </c>
      <c r="K66" s="20" t="s">
        <v>47</v>
      </c>
      <c r="L66" s="20" t="s">
        <v>10</v>
      </c>
      <c r="M66" s="20" t="s">
        <v>42</v>
      </c>
      <c r="N66" s="20" t="s">
        <v>247</v>
      </c>
      <c r="O66" s="20" t="str">
        <f>_xlfn.XLOOKUP(N66,players!A:A,players!D:D,"")</f>
        <v>Donte Diggs</v>
      </c>
      <c r="P66" s="20" cm="1">
        <f t="array" ref="P66">_xlfn.XLOOKUP(I66&amp;N66,rosterSpots!B:B&amp;rosterSpots!D:D,rosterSpots!E:E,"")</f>
        <v>21</v>
      </c>
      <c r="Q66" s="20">
        <f xml:space="preserve"> (playerGameStats!$R66 * 2) + (playerGameStats!$S66 * 3) + (playerGameStats!$T66)</f>
        <v>2</v>
      </c>
      <c r="R66" s="20">
        <v>1</v>
      </c>
      <c r="S66" s="20">
        <v>0</v>
      </c>
      <c r="T66" s="20">
        <v>0</v>
      </c>
      <c r="U66" s="23">
        <v>0</v>
      </c>
    </row>
    <row r="67" spans="1:21" x14ac:dyDescent="0.25">
      <c r="A67" s="14" t="s">
        <v>348</v>
      </c>
      <c r="B67" s="15">
        <v>2026</v>
      </c>
      <c r="C67" s="15" t="s">
        <v>36</v>
      </c>
      <c r="D67" s="15">
        <v>2</v>
      </c>
      <c r="E67" s="16">
        <v>46125</v>
      </c>
      <c r="F67" s="17">
        <v>0.85416666666666663</v>
      </c>
      <c r="G67" s="15" t="s">
        <v>18</v>
      </c>
      <c r="H67" s="15" t="s">
        <v>310</v>
      </c>
      <c r="I67" s="15" t="s">
        <v>297</v>
      </c>
      <c r="J67" s="15" t="s">
        <v>13</v>
      </c>
      <c r="K67" s="15" t="s">
        <v>47</v>
      </c>
      <c r="L67" s="15" t="s">
        <v>10</v>
      </c>
      <c r="M67" s="15" t="s">
        <v>42</v>
      </c>
      <c r="N67" s="15" t="s">
        <v>245</v>
      </c>
      <c r="O67" s="15" t="str">
        <f>_xlfn.XLOOKUP(N67,players!A:A,players!D:D,"")</f>
        <v>Deven Cobb</v>
      </c>
      <c r="P67" s="15" cm="1">
        <f t="array" ref="P67">_xlfn.XLOOKUP(I67&amp;N67,rosterSpots!B:B&amp;rosterSpots!D:D,rosterSpots!E:E,"")</f>
        <v>22</v>
      </c>
      <c r="Q67" s="15">
        <f xml:space="preserve"> (playerGameStats!$R67 * 2) + (playerGameStats!$S67 * 3) + (playerGameStats!$T67)</f>
        <v>5</v>
      </c>
      <c r="R67" s="15">
        <v>0</v>
      </c>
      <c r="S67" s="15">
        <v>1</v>
      </c>
      <c r="T67" s="15">
        <v>2</v>
      </c>
      <c r="U67" s="18">
        <v>2</v>
      </c>
    </row>
    <row r="68" spans="1:21" x14ac:dyDescent="0.25">
      <c r="A68" s="19" t="s">
        <v>348</v>
      </c>
      <c r="B68" s="20">
        <v>2026</v>
      </c>
      <c r="C68" s="20" t="s">
        <v>36</v>
      </c>
      <c r="D68" s="20">
        <v>2</v>
      </c>
      <c r="E68" s="21">
        <v>46125</v>
      </c>
      <c r="F68" s="22">
        <v>0.85416666666666663</v>
      </c>
      <c r="G68" s="20" t="s">
        <v>18</v>
      </c>
      <c r="H68" s="20" t="s">
        <v>310</v>
      </c>
      <c r="I68" s="20" t="s">
        <v>297</v>
      </c>
      <c r="J68" s="20" t="s">
        <v>13</v>
      </c>
      <c r="K68" s="20" t="s">
        <v>47</v>
      </c>
      <c r="L68" s="20" t="s">
        <v>10</v>
      </c>
      <c r="M68" s="20" t="s">
        <v>42</v>
      </c>
      <c r="N68" s="20" t="s">
        <v>246</v>
      </c>
      <c r="O68" s="20" t="str">
        <f>_xlfn.XLOOKUP(N68,players!A:A,players!D:D,"")</f>
        <v>Niko Balis</v>
      </c>
      <c r="P68" s="20" cm="1">
        <f t="array" ref="P68">_xlfn.XLOOKUP(I68&amp;N68,rosterSpots!B:B&amp;rosterSpots!D:D,rosterSpots!E:E,"")</f>
        <v>51</v>
      </c>
      <c r="Q68" s="20">
        <f xml:space="preserve"> (playerGameStats!$R68 * 2) + (playerGameStats!$S68 * 3) + (playerGameStats!$T68)</f>
        <v>11</v>
      </c>
      <c r="R68" s="20">
        <v>2</v>
      </c>
      <c r="S68" s="20">
        <v>2</v>
      </c>
      <c r="T68" s="20">
        <v>1</v>
      </c>
      <c r="U68" s="23">
        <v>2</v>
      </c>
    </row>
    <row r="69" spans="1:21" x14ac:dyDescent="0.25">
      <c r="A69" s="14" t="s">
        <v>348</v>
      </c>
      <c r="B69" s="15">
        <v>2026</v>
      </c>
      <c r="C69" s="15" t="s">
        <v>36</v>
      </c>
      <c r="D69" s="15">
        <v>2</v>
      </c>
      <c r="E69" s="16">
        <v>46125</v>
      </c>
      <c r="F69" s="17">
        <v>0.85416666666666663</v>
      </c>
      <c r="G69" s="15" t="s">
        <v>18</v>
      </c>
      <c r="H69" s="15" t="s">
        <v>310</v>
      </c>
      <c r="I69" s="15" t="s">
        <v>294</v>
      </c>
      <c r="J69" s="15" t="s">
        <v>10</v>
      </c>
      <c r="K69" s="15" t="s">
        <v>42</v>
      </c>
      <c r="L69" s="15" t="s">
        <v>13</v>
      </c>
      <c r="M69" s="15" t="s">
        <v>47</v>
      </c>
      <c r="N69" s="15" t="s">
        <v>216</v>
      </c>
      <c r="O69" s="15" t="str">
        <f>_xlfn.XLOOKUP(N69,players!A:A,players!D:D,"")</f>
        <v>Ryan Ricciardelli</v>
      </c>
      <c r="P69" s="15" cm="1">
        <f t="array" ref="P69">_xlfn.XLOOKUP(I69&amp;N69,rosterSpots!B:B&amp;rosterSpots!D:D,rosterSpots!E:E,"")</f>
        <v>2</v>
      </c>
      <c r="Q69" s="15">
        <f xml:space="preserve"> (playerGameStats!$R69 * 2) + (playerGameStats!$S69 * 3) + (playerGameStats!$T69)</f>
        <v>3</v>
      </c>
      <c r="R69" s="15">
        <v>0</v>
      </c>
      <c r="S69" s="15">
        <v>1</v>
      </c>
      <c r="T69" s="15">
        <v>0</v>
      </c>
      <c r="U69" s="18">
        <v>0</v>
      </c>
    </row>
    <row r="70" spans="1:21" x14ac:dyDescent="0.25">
      <c r="A70" s="19" t="s">
        <v>348</v>
      </c>
      <c r="B70" s="20">
        <v>2026</v>
      </c>
      <c r="C70" s="20" t="s">
        <v>36</v>
      </c>
      <c r="D70" s="20">
        <v>2</v>
      </c>
      <c r="E70" s="21">
        <v>46125</v>
      </c>
      <c r="F70" s="22">
        <v>0.85416666666666663</v>
      </c>
      <c r="G70" s="20" t="s">
        <v>18</v>
      </c>
      <c r="H70" s="20" t="s">
        <v>310</v>
      </c>
      <c r="I70" s="20" t="s">
        <v>294</v>
      </c>
      <c r="J70" s="20" t="s">
        <v>10</v>
      </c>
      <c r="K70" s="20" t="s">
        <v>42</v>
      </c>
      <c r="L70" s="20" t="s">
        <v>13</v>
      </c>
      <c r="M70" s="20" t="s">
        <v>47</v>
      </c>
      <c r="N70" s="20" t="s">
        <v>221</v>
      </c>
      <c r="O70" s="20" t="str">
        <f>_xlfn.XLOOKUP(N70,players!A:A,players!D:D,"")</f>
        <v>Dom Sepko</v>
      </c>
      <c r="P70" s="20" cm="1">
        <f t="array" ref="P70">_xlfn.XLOOKUP(I70&amp;N70,rosterSpots!B:B&amp;rosterSpots!D:D,rosterSpots!E:E,"")</f>
        <v>3</v>
      </c>
      <c r="Q70" s="20">
        <f xml:space="preserve"> (playerGameStats!$R70 * 2) + (playerGameStats!$S70 * 3) + (playerGameStats!$T70)</f>
        <v>4</v>
      </c>
      <c r="R70" s="20">
        <v>2</v>
      </c>
      <c r="S70" s="20">
        <v>0</v>
      </c>
      <c r="T70" s="20">
        <v>0</v>
      </c>
      <c r="U70" s="23">
        <v>0</v>
      </c>
    </row>
    <row r="71" spans="1:21" x14ac:dyDescent="0.25">
      <c r="A71" s="14" t="s">
        <v>348</v>
      </c>
      <c r="B71" s="15">
        <v>2026</v>
      </c>
      <c r="C71" s="15" t="s">
        <v>36</v>
      </c>
      <c r="D71" s="15">
        <v>2</v>
      </c>
      <c r="E71" s="16">
        <v>46125</v>
      </c>
      <c r="F71" s="17">
        <v>0.85416666666666663</v>
      </c>
      <c r="G71" s="15" t="s">
        <v>18</v>
      </c>
      <c r="H71" s="15" t="s">
        <v>310</v>
      </c>
      <c r="I71" s="15" t="s">
        <v>294</v>
      </c>
      <c r="J71" s="15" t="s">
        <v>10</v>
      </c>
      <c r="K71" s="15" t="s">
        <v>42</v>
      </c>
      <c r="L71" s="15" t="s">
        <v>13</v>
      </c>
      <c r="M71" s="15" t="s">
        <v>47</v>
      </c>
      <c r="N71" s="15" t="s">
        <v>219</v>
      </c>
      <c r="O71" s="15" t="str">
        <f>_xlfn.XLOOKUP(N71,players!A:A,players!D:D,"")</f>
        <v>Ryan Maloney</v>
      </c>
      <c r="P71" s="15" cm="1">
        <f t="array" ref="P71">_xlfn.XLOOKUP(I71&amp;N71,rosterSpots!B:B&amp;rosterSpots!D:D,rosterSpots!E:E,"")</f>
        <v>5</v>
      </c>
      <c r="Q71" s="15">
        <f xml:space="preserve"> (playerGameStats!$R71 * 2) + (playerGameStats!$S71 * 3) + (playerGameStats!$T71)</f>
        <v>7</v>
      </c>
      <c r="R71" s="15">
        <v>1</v>
      </c>
      <c r="S71" s="15">
        <v>1</v>
      </c>
      <c r="T71" s="15">
        <v>2</v>
      </c>
      <c r="U71" s="18">
        <v>2</v>
      </c>
    </row>
    <row r="72" spans="1:21" x14ac:dyDescent="0.25">
      <c r="A72" s="19" t="s">
        <v>348</v>
      </c>
      <c r="B72" s="20">
        <v>2026</v>
      </c>
      <c r="C72" s="20" t="s">
        <v>36</v>
      </c>
      <c r="D72" s="20">
        <v>2</v>
      </c>
      <c r="E72" s="21">
        <v>46125</v>
      </c>
      <c r="F72" s="22">
        <v>0.85416666666666663</v>
      </c>
      <c r="G72" s="20" t="s">
        <v>18</v>
      </c>
      <c r="H72" s="20" t="s">
        <v>310</v>
      </c>
      <c r="I72" s="20" t="s">
        <v>294</v>
      </c>
      <c r="J72" s="20" t="s">
        <v>10</v>
      </c>
      <c r="K72" s="20" t="s">
        <v>42</v>
      </c>
      <c r="L72" s="20" t="s">
        <v>13</v>
      </c>
      <c r="M72" s="20" t="s">
        <v>47</v>
      </c>
      <c r="N72" s="20" t="s">
        <v>218</v>
      </c>
      <c r="O72" s="20" t="str">
        <f>_xlfn.XLOOKUP(N72,players!A:A,players!D:D,"")</f>
        <v>Guy Johnson</v>
      </c>
      <c r="P72" s="20" cm="1">
        <f t="array" ref="P72">_xlfn.XLOOKUP(I72&amp;N72,rosterSpots!B:B&amp;rosterSpots!D:D,rosterSpots!E:E,"")</f>
        <v>9</v>
      </c>
      <c r="Q72" s="20">
        <f xml:space="preserve"> (playerGameStats!$R72 * 2) + (playerGameStats!$S72 * 3) + (playerGameStats!$T72)</f>
        <v>19</v>
      </c>
      <c r="R72" s="20">
        <v>1</v>
      </c>
      <c r="S72" s="20">
        <v>5</v>
      </c>
      <c r="T72" s="20">
        <v>2</v>
      </c>
      <c r="U72" s="23">
        <v>2</v>
      </c>
    </row>
    <row r="73" spans="1:21" x14ac:dyDescent="0.25">
      <c r="A73" s="14" t="s">
        <v>348</v>
      </c>
      <c r="B73" s="15">
        <v>2026</v>
      </c>
      <c r="C73" s="15" t="s">
        <v>36</v>
      </c>
      <c r="D73" s="15">
        <v>2</v>
      </c>
      <c r="E73" s="16">
        <v>46125</v>
      </c>
      <c r="F73" s="17">
        <v>0.85416666666666663</v>
      </c>
      <c r="G73" s="15" t="s">
        <v>18</v>
      </c>
      <c r="H73" s="15" t="s">
        <v>310</v>
      </c>
      <c r="I73" s="15" t="s">
        <v>294</v>
      </c>
      <c r="J73" s="15" t="s">
        <v>10</v>
      </c>
      <c r="K73" s="15" t="s">
        <v>42</v>
      </c>
      <c r="L73" s="15" t="s">
        <v>13</v>
      </c>
      <c r="M73" s="15" t="s">
        <v>47</v>
      </c>
      <c r="N73" s="15" t="s">
        <v>222</v>
      </c>
      <c r="O73" s="15" t="str">
        <f>_xlfn.XLOOKUP(N73,players!A:A,players!D:D,"")</f>
        <v>Matt Morini</v>
      </c>
      <c r="P73" s="15" cm="1">
        <f t="array" ref="P73">_xlfn.XLOOKUP(I73&amp;N73,rosterSpots!B:B&amp;rosterSpots!D:D,rosterSpots!E:E,"")</f>
        <v>11</v>
      </c>
      <c r="Q73" s="15">
        <f xml:space="preserve"> (playerGameStats!$R73 * 2) + (playerGameStats!$S73 * 3) + (playerGameStats!$T73)</f>
        <v>8</v>
      </c>
      <c r="R73" s="15">
        <v>1</v>
      </c>
      <c r="S73" s="15">
        <v>2</v>
      </c>
      <c r="T73" s="15">
        <v>0</v>
      </c>
      <c r="U73" s="18">
        <v>0</v>
      </c>
    </row>
    <row r="74" spans="1:21" x14ac:dyDescent="0.25">
      <c r="A74" s="19" t="s">
        <v>348</v>
      </c>
      <c r="B74" s="20">
        <v>2026</v>
      </c>
      <c r="C74" s="20" t="s">
        <v>36</v>
      </c>
      <c r="D74" s="20">
        <v>2</v>
      </c>
      <c r="E74" s="21">
        <v>46125</v>
      </c>
      <c r="F74" s="22">
        <v>0.85416666666666663</v>
      </c>
      <c r="G74" s="20" t="s">
        <v>18</v>
      </c>
      <c r="H74" s="20" t="s">
        <v>310</v>
      </c>
      <c r="I74" s="20" t="s">
        <v>294</v>
      </c>
      <c r="J74" s="20" t="s">
        <v>10</v>
      </c>
      <c r="K74" s="20" t="s">
        <v>42</v>
      </c>
      <c r="L74" s="20" t="s">
        <v>13</v>
      </c>
      <c r="M74" s="20" t="s">
        <v>47</v>
      </c>
      <c r="N74" s="20" t="s">
        <v>223</v>
      </c>
      <c r="O74" s="20" t="str">
        <f>_xlfn.XLOOKUP(N74,players!A:A,players!D:D,"")</f>
        <v>Clayton Kunzweiler</v>
      </c>
      <c r="P74" s="20" cm="1">
        <f t="array" ref="P74">_xlfn.XLOOKUP(I74&amp;N74,rosterSpots!B:B&amp;rosterSpots!D:D,rosterSpots!E:E,"")</f>
        <v>13</v>
      </c>
      <c r="Q74" s="20">
        <f xml:space="preserve"> (playerGameStats!$R74 * 2) + (playerGameStats!$S74 * 3) + (playerGameStats!$T74)</f>
        <v>5</v>
      </c>
      <c r="R74" s="20">
        <v>2</v>
      </c>
      <c r="S74" s="20">
        <v>0</v>
      </c>
      <c r="T74" s="20">
        <v>1</v>
      </c>
      <c r="U74" s="23">
        <v>1</v>
      </c>
    </row>
    <row r="75" spans="1:21" x14ac:dyDescent="0.25">
      <c r="A75" s="14" t="s">
        <v>348</v>
      </c>
      <c r="B75" s="15">
        <v>2026</v>
      </c>
      <c r="C75" s="15" t="s">
        <v>36</v>
      </c>
      <c r="D75" s="15">
        <v>2</v>
      </c>
      <c r="E75" s="16">
        <v>46125</v>
      </c>
      <c r="F75" s="17">
        <v>0.85416666666666663</v>
      </c>
      <c r="G75" s="15" t="s">
        <v>18</v>
      </c>
      <c r="H75" s="15" t="s">
        <v>310</v>
      </c>
      <c r="I75" s="15" t="s">
        <v>294</v>
      </c>
      <c r="J75" s="15" t="s">
        <v>10</v>
      </c>
      <c r="K75" s="15" t="s">
        <v>42</v>
      </c>
      <c r="L75" s="15" t="s">
        <v>13</v>
      </c>
      <c r="M75" s="15" t="s">
        <v>47</v>
      </c>
      <c r="N75" s="15" t="s">
        <v>220</v>
      </c>
      <c r="O75" s="15" t="str">
        <f>_xlfn.XLOOKUP(N75,players!A:A,players!D:D,"")</f>
        <v>Ryan Chapman</v>
      </c>
      <c r="P75" s="15" cm="1">
        <f t="array" ref="P75">_xlfn.XLOOKUP(I75&amp;N75,rosterSpots!B:B&amp;rosterSpots!D:D,rosterSpots!E:E,"")</f>
        <v>20</v>
      </c>
      <c r="Q75" s="15">
        <f xml:space="preserve"> (playerGameStats!$R75 * 2) + (playerGameStats!$S75 * 3) + (playerGameStats!$T75)</f>
        <v>2</v>
      </c>
      <c r="R75" s="15">
        <v>1</v>
      </c>
      <c r="S75" s="15">
        <v>0</v>
      </c>
      <c r="T75" s="15">
        <v>0</v>
      </c>
      <c r="U75" s="18">
        <v>0</v>
      </c>
    </row>
    <row r="76" spans="1:21" x14ac:dyDescent="0.25">
      <c r="A76" s="19" t="s">
        <v>348</v>
      </c>
      <c r="B76" s="20">
        <v>2026</v>
      </c>
      <c r="C76" s="20" t="s">
        <v>36</v>
      </c>
      <c r="D76" s="20">
        <v>2</v>
      </c>
      <c r="E76" s="21">
        <v>46125</v>
      </c>
      <c r="F76" s="22">
        <v>0.85416666666666663</v>
      </c>
      <c r="G76" s="20" t="s">
        <v>18</v>
      </c>
      <c r="H76" s="20" t="s">
        <v>310</v>
      </c>
      <c r="I76" s="20" t="s">
        <v>294</v>
      </c>
      <c r="J76" s="20" t="s">
        <v>10</v>
      </c>
      <c r="K76" s="20" t="s">
        <v>42</v>
      </c>
      <c r="L76" s="20" t="s">
        <v>13</v>
      </c>
      <c r="M76" s="20" t="s">
        <v>47</v>
      </c>
      <c r="N76" s="20" t="s">
        <v>217</v>
      </c>
      <c r="O76" s="20" t="str">
        <f>_xlfn.XLOOKUP(N76,players!A:A,players!D:D,"")</f>
        <v>Sean Denson</v>
      </c>
      <c r="P76" s="20" cm="1">
        <f t="array" ref="P76">_xlfn.XLOOKUP(I76&amp;N76,rosterSpots!B:B&amp;rosterSpots!D:D,rosterSpots!E:E,"")</f>
        <v>33</v>
      </c>
      <c r="Q76" s="20">
        <f xml:space="preserve"> (playerGameStats!$R76 * 2) + (playerGameStats!$S76 * 3) + (playerGameStats!$T76)</f>
        <v>6</v>
      </c>
      <c r="R76" s="20">
        <v>3</v>
      </c>
      <c r="S76" s="20">
        <v>0</v>
      </c>
      <c r="T76" s="20">
        <v>0</v>
      </c>
      <c r="U76" s="23">
        <v>0</v>
      </c>
    </row>
    <row r="77" spans="1:21" x14ac:dyDescent="0.25">
      <c r="A77" s="14" t="s">
        <v>347</v>
      </c>
      <c r="B77" s="15">
        <v>2026</v>
      </c>
      <c r="C77" s="15" t="s">
        <v>36</v>
      </c>
      <c r="D77" s="15">
        <v>2</v>
      </c>
      <c r="E77" s="16">
        <v>46126</v>
      </c>
      <c r="F77" s="17">
        <v>0.8125</v>
      </c>
      <c r="G77" s="15" t="s">
        <v>18</v>
      </c>
      <c r="H77" s="15" t="s">
        <v>310</v>
      </c>
      <c r="I77" s="15" t="s">
        <v>296</v>
      </c>
      <c r="J77" s="15" t="s">
        <v>15</v>
      </c>
      <c r="K77" s="15" t="s">
        <v>48</v>
      </c>
      <c r="L77" s="15" t="s">
        <v>16</v>
      </c>
      <c r="M77" s="15" t="s">
        <v>44</v>
      </c>
      <c r="N77" s="15" t="s">
        <v>238</v>
      </c>
      <c r="O77" s="15" t="str">
        <f>_xlfn.XLOOKUP(N77,players!A:A,players!D:D,"")</f>
        <v>Derin Sweeney</v>
      </c>
      <c r="P77" s="15" cm="1">
        <f t="array" ref="P77">_xlfn.XLOOKUP(I77&amp;N77,rosterSpots!B:B&amp;rosterSpots!D:D,rosterSpots!E:E,"")</f>
        <v>0</v>
      </c>
      <c r="Q77" s="15">
        <f xml:space="preserve"> (playerGameStats!$R77 * 2) + (playerGameStats!$S77 * 3) + (playerGameStats!$T77)</f>
        <v>9</v>
      </c>
      <c r="R77" s="15">
        <v>0</v>
      </c>
      <c r="S77" s="15">
        <v>3</v>
      </c>
      <c r="T77" s="15">
        <v>0</v>
      </c>
      <c r="U77" s="18">
        <v>0</v>
      </c>
    </row>
    <row r="78" spans="1:21" x14ac:dyDescent="0.25">
      <c r="A78" s="19" t="s">
        <v>347</v>
      </c>
      <c r="B78" s="20">
        <v>2026</v>
      </c>
      <c r="C78" s="20" t="s">
        <v>36</v>
      </c>
      <c r="D78" s="20">
        <v>2</v>
      </c>
      <c r="E78" s="21">
        <v>46126</v>
      </c>
      <c r="F78" s="22">
        <v>0.8125</v>
      </c>
      <c r="G78" s="20" t="s">
        <v>18</v>
      </c>
      <c r="H78" s="20" t="s">
        <v>310</v>
      </c>
      <c r="I78" s="20" t="s">
        <v>296</v>
      </c>
      <c r="J78" s="20" t="s">
        <v>15</v>
      </c>
      <c r="K78" s="20" t="s">
        <v>48</v>
      </c>
      <c r="L78" s="20" t="s">
        <v>16</v>
      </c>
      <c r="M78" s="20" t="s">
        <v>44</v>
      </c>
      <c r="N78" s="20" t="s">
        <v>240</v>
      </c>
      <c r="O78" s="20" t="str">
        <f>_xlfn.XLOOKUP(N78,players!A:A,players!D:D,"")</f>
        <v>Kevin Tierney</v>
      </c>
      <c r="P78" s="20" cm="1">
        <f t="array" ref="P78">_xlfn.XLOOKUP(I78&amp;N78,rosterSpots!B:B&amp;rosterSpots!D:D,rosterSpots!E:E,"")</f>
        <v>1</v>
      </c>
      <c r="Q78" s="20">
        <f xml:space="preserve"> (playerGameStats!$R78 * 2) + (playerGameStats!$S78 * 3) + (playerGameStats!$T78)</f>
        <v>13</v>
      </c>
      <c r="R78" s="20">
        <v>2</v>
      </c>
      <c r="S78" s="20">
        <v>3</v>
      </c>
      <c r="T78" s="20">
        <v>0</v>
      </c>
      <c r="U78" s="23">
        <v>0</v>
      </c>
    </row>
    <row r="79" spans="1:21" x14ac:dyDescent="0.25">
      <c r="A79" s="14" t="s">
        <v>347</v>
      </c>
      <c r="B79" s="15">
        <v>2026</v>
      </c>
      <c r="C79" s="15" t="s">
        <v>36</v>
      </c>
      <c r="D79" s="15">
        <v>2</v>
      </c>
      <c r="E79" s="16">
        <v>46126</v>
      </c>
      <c r="F79" s="17">
        <v>0.8125</v>
      </c>
      <c r="G79" s="15" t="s">
        <v>18</v>
      </c>
      <c r="H79" s="15" t="s">
        <v>310</v>
      </c>
      <c r="I79" s="15" t="s">
        <v>296</v>
      </c>
      <c r="J79" s="15" t="s">
        <v>15</v>
      </c>
      <c r="K79" s="15" t="s">
        <v>48</v>
      </c>
      <c r="L79" s="15" t="s">
        <v>16</v>
      </c>
      <c r="M79" s="15" t="s">
        <v>44</v>
      </c>
      <c r="N79" s="15" t="s">
        <v>243</v>
      </c>
      <c r="O79" s="15" t="str">
        <f>_xlfn.XLOOKUP(N79,players!A:A,players!D:D,"")</f>
        <v>Donald Owens</v>
      </c>
      <c r="P79" s="15" cm="1">
        <f t="array" ref="P79">_xlfn.XLOOKUP(I79&amp;N79,rosterSpots!B:B&amp;rosterSpots!D:D,rosterSpots!E:E,"")</f>
        <v>11</v>
      </c>
      <c r="Q79" s="15">
        <f xml:space="preserve"> (playerGameStats!$R79 * 2) + (playerGameStats!$S79 * 3) + (playerGameStats!$T79)</f>
        <v>8</v>
      </c>
      <c r="R79" s="15">
        <v>1</v>
      </c>
      <c r="S79" s="15">
        <v>2</v>
      </c>
      <c r="T79" s="15">
        <v>0</v>
      </c>
      <c r="U79" s="18">
        <v>0</v>
      </c>
    </row>
    <row r="80" spans="1:21" x14ac:dyDescent="0.25">
      <c r="A80" s="19" t="s">
        <v>347</v>
      </c>
      <c r="B80" s="20">
        <v>2026</v>
      </c>
      <c r="C80" s="20" t="s">
        <v>36</v>
      </c>
      <c r="D80" s="20">
        <v>2</v>
      </c>
      <c r="E80" s="21">
        <v>46126</v>
      </c>
      <c r="F80" s="22">
        <v>0.8125</v>
      </c>
      <c r="G80" s="20" t="s">
        <v>18</v>
      </c>
      <c r="H80" s="20" t="s">
        <v>310</v>
      </c>
      <c r="I80" s="20" t="s">
        <v>296</v>
      </c>
      <c r="J80" s="20" t="s">
        <v>15</v>
      </c>
      <c r="K80" s="20" t="s">
        <v>48</v>
      </c>
      <c r="L80" s="20" t="s">
        <v>16</v>
      </c>
      <c r="M80" s="20" t="s">
        <v>44</v>
      </c>
      <c r="N80" s="20" t="s">
        <v>237</v>
      </c>
      <c r="O80" s="20" t="str">
        <f>_xlfn.XLOOKUP(N80,players!A:A,players!D:D,"")</f>
        <v>Zach Rollman</v>
      </c>
      <c r="P80" s="20" cm="1">
        <f t="array" ref="P80">_xlfn.XLOOKUP(I80&amp;N80,rosterSpots!B:B&amp;rosterSpots!D:D,rosterSpots!E:E,"")</f>
        <v>13</v>
      </c>
      <c r="Q80" s="20">
        <f xml:space="preserve"> (playerGameStats!$R80 * 2) + (playerGameStats!$S80 * 3) + (playerGameStats!$T80)</f>
        <v>5</v>
      </c>
      <c r="R80" s="20">
        <v>1</v>
      </c>
      <c r="S80" s="20">
        <v>1</v>
      </c>
      <c r="T80" s="20">
        <v>0</v>
      </c>
      <c r="U80" s="23">
        <v>0</v>
      </c>
    </row>
    <row r="81" spans="1:21" x14ac:dyDescent="0.25">
      <c r="A81" s="14" t="s">
        <v>347</v>
      </c>
      <c r="B81" s="15">
        <v>2026</v>
      </c>
      <c r="C81" s="15" t="s">
        <v>36</v>
      </c>
      <c r="D81" s="15">
        <v>2</v>
      </c>
      <c r="E81" s="16">
        <v>46126</v>
      </c>
      <c r="F81" s="17">
        <v>0.8125</v>
      </c>
      <c r="G81" s="15" t="s">
        <v>18</v>
      </c>
      <c r="H81" s="15" t="s">
        <v>310</v>
      </c>
      <c r="I81" s="15" t="s">
        <v>296</v>
      </c>
      <c r="J81" s="15" t="s">
        <v>15</v>
      </c>
      <c r="K81" s="15" t="s">
        <v>48</v>
      </c>
      <c r="L81" s="15" t="s">
        <v>16</v>
      </c>
      <c r="M81" s="15" t="s">
        <v>44</v>
      </c>
      <c r="N81" s="15" t="s">
        <v>236</v>
      </c>
      <c r="O81" s="15" t="str">
        <f>_xlfn.XLOOKUP(N81,players!A:A,players!D:D,"")</f>
        <v>Jeff Savage</v>
      </c>
      <c r="P81" s="15" cm="1">
        <f t="array" ref="P81">_xlfn.XLOOKUP(I81&amp;N81,rosterSpots!B:B&amp;rosterSpots!D:D,rosterSpots!E:E,"")</f>
        <v>14</v>
      </c>
      <c r="Q81" s="15">
        <f xml:space="preserve"> (playerGameStats!$R81 * 2) + (playerGameStats!$S81 * 3) + (playerGameStats!$T81)</f>
        <v>8</v>
      </c>
      <c r="R81" s="15">
        <v>1</v>
      </c>
      <c r="S81" s="15">
        <v>1</v>
      </c>
      <c r="T81" s="15">
        <v>3</v>
      </c>
      <c r="U81" s="18">
        <v>4</v>
      </c>
    </row>
    <row r="82" spans="1:21" x14ac:dyDescent="0.25">
      <c r="A82" s="19" t="s">
        <v>347</v>
      </c>
      <c r="B82" s="20">
        <v>2026</v>
      </c>
      <c r="C82" s="20" t="s">
        <v>36</v>
      </c>
      <c r="D82" s="20">
        <v>2</v>
      </c>
      <c r="E82" s="21">
        <v>46126</v>
      </c>
      <c r="F82" s="22">
        <v>0.8125</v>
      </c>
      <c r="G82" s="20" t="s">
        <v>18</v>
      </c>
      <c r="H82" s="20" t="s">
        <v>310</v>
      </c>
      <c r="I82" s="20" t="s">
        <v>296</v>
      </c>
      <c r="J82" s="20" t="s">
        <v>15</v>
      </c>
      <c r="K82" s="20" t="s">
        <v>48</v>
      </c>
      <c r="L82" s="20" t="s">
        <v>16</v>
      </c>
      <c r="M82" s="20" t="s">
        <v>44</v>
      </c>
      <c r="N82" s="20" t="s">
        <v>241</v>
      </c>
      <c r="O82" s="20" t="str">
        <f>_xlfn.XLOOKUP(N82,players!A:A,players!D:D,"")</f>
        <v>Brian Clemens</v>
      </c>
      <c r="P82" s="20" cm="1">
        <f t="array" ref="P82">_xlfn.XLOOKUP(I82&amp;N82,rosterSpots!B:B&amp;rosterSpots!D:D,rosterSpots!E:E,"")</f>
        <v>17</v>
      </c>
      <c r="Q82" s="20">
        <f xml:space="preserve"> (playerGameStats!$R82 * 2) + (playerGameStats!$S82 * 3) + (playerGameStats!$T82)</f>
        <v>2</v>
      </c>
      <c r="R82" s="20">
        <v>1</v>
      </c>
      <c r="S82" s="20">
        <v>0</v>
      </c>
      <c r="T82" s="20">
        <v>0</v>
      </c>
      <c r="U82" s="23">
        <v>0</v>
      </c>
    </row>
    <row r="83" spans="1:21" x14ac:dyDescent="0.25">
      <c r="A83" s="14" t="s">
        <v>347</v>
      </c>
      <c r="B83" s="15">
        <v>2026</v>
      </c>
      <c r="C83" s="15" t="s">
        <v>36</v>
      </c>
      <c r="D83" s="15">
        <v>2</v>
      </c>
      <c r="E83" s="16">
        <v>46126</v>
      </c>
      <c r="F83" s="17">
        <v>0.8125</v>
      </c>
      <c r="G83" s="15" t="s">
        <v>18</v>
      </c>
      <c r="H83" s="15" t="s">
        <v>310</v>
      </c>
      <c r="I83" s="15" t="s">
        <v>296</v>
      </c>
      <c r="J83" s="15" t="s">
        <v>15</v>
      </c>
      <c r="K83" s="15" t="s">
        <v>48</v>
      </c>
      <c r="L83" s="15" t="s">
        <v>16</v>
      </c>
      <c r="M83" s="15" t="s">
        <v>44</v>
      </c>
      <c r="N83" s="15" t="s">
        <v>239</v>
      </c>
      <c r="O83" s="15" t="str">
        <f>_xlfn.XLOOKUP(N83,players!A:A,players!D:D,"")</f>
        <v>Hakim Jackson</v>
      </c>
      <c r="P83" s="15" cm="1">
        <f t="array" ref="P83">_xlfn.XLOOKUP(I83&amp;N83,rosterSpots!B:B&amp;rosterSpots!D:D,rosterSpots!E:E,"")</f>
        <v>77</v>
      </c>
      <c r="Q83" s="15">
        <f xml:space="preserve"> (playerGameStats!$R83 * 2) + (playerGameStats!$S83 * 3) + (playerGameStats!$T83)</f>
        <v>7</v>
      </c>
      <c r="R83" s="15">
        <v>2</v>
      </c>
      <c r="S83" s="15">
        <v>1</v>
      </c>
      <c r="T83" s="15">
        <v>0</v>
      </c>
      <c r="U83" s="18">
        <v>0</v>
      </c>
    </row>
    <row r="84" spans="1:21" x14ac:dyDescent="0.25">
      <c r="A84" s="19" t="s">
        <v>347</v>
      </c>
      <c r="B84" s="20">
        <v>2026</v>
      </c>
      <c r="C84" s="20" t="s">
        <v>36</v>
      </c>
      <c r="D84" s="20">
        <v>2</v>
      </c>
      <c r="E84" s="21">
        <v>46126</v>
      </c>
      <c r="F84" s="22">
        <v>0.8125</v>
      </c>
      <c r="G84" s="20" t="s">
        <v>18</v>
      </c>
      <c r="H84" s="20" t="s">
        <v>310</v>
      </c>
      <c r="I84" s="20" t="s">
        <v>300</v>
      </c>
      <c r="J84" s="20" t="s">
        <v>16</v>
      </c>
      <c r="K84" s="20" t="s">
        <v>44</v>
      </c>
      <c r="L84" s="20" t="s">
        <v>15</v>
      </c>
      <c r="M84" s="20" t="s">
        <v>48</v>
      </c>
      <c r="N84" s="20" t="s">
        <v>277</v>
      </c>
      <c r="O84" s="20" t="str">
        <f>_xlfn.XLOOKUP(N84,players!A:A,players!D:D,"")</f>
        <v>Kevin Carroll</v>
      </c>
      <c r="P84" s="20" cm="1">
        <f t="array" ref="P84">_xlfn.XLOOKUP(I84&amp;N84,rosterSpots!B:B&amp;rosterSpots!D:D,rosterSpots!E:E,"")</f>
        <v>2</v>
      </c>
      <c r="Q84" s="20">
        <f xml:space="preserve"> (playerGameStats!$R84 * 2) + (playerGameStats!$S84 * 3) + (playerGameStats!$T84)</f>
        <v>4</v>
      </c>
      <c r="R84" s="20">
        <v>2</v>
      </c>
      <c r="S84" s="20">
        <v>0</v>
      </c>
      <c r="T84" s="20">
        <v>0</v>
      </c>
      <c r="U84" s="23">
        <v>0</v>
      </c>
    </row>
    <row r="85" spans="1:21" x14ac:dyDescent="0.25">
      <c r="A85" s="14" t="s">
        <v>347</v>
      </c>
      <c r="B85" s="15">
        <v>2026</v>
      </c>
      <c r="C85" s="15" t="s">
        <v>36</v>
      </c>
      <c r="D85" s="15">
        <v>2</v>
      </c>
      <c r="E85" s="16">
        <v>46126</v>
      </c>
      <c r="F85" s="17">
        <v>0.8125</v>
      </c>
      <c r="G85" s="15" t="s">
        <v>18</v>
      </c>
      <c r="H85" s="15" t="s">
        <v>310</v>
      </c>
      <c r="I85" s="15" t="s">
        <v>300</v>
      </c>
      <c r="J85" s="15" t="s">
        <v>16</v>
      </c>
      <c r="K85" s="15" t="s">
        <v>44</v>
      </c>
      <c r="L85" s="15" t="s">
        <v>15</v>
      </c>
      <c r="M85" s="15" t="s">
        <v>48</v>
      </c>
      <c r="N85" s="15" t="s">
        <v>281</v>
      </c>
      <c r="O85" s="15" t="str">
        <f>_xlfn.XLOOKUP(N85,players!A:A,players!D:D,"")</f>
        <v>Tommy Zheng</v>
      </c>
      <c r="P85" s="15" cm="1">
        <f t="array" ref="P85">_xlfn.XLOOKUP(I85&amp;N85,rosterSpots!B:B&amp;rosterSpots!D:D,rosterSpots!E:E,"")</f>
        <v>5</v>
      </c>
      <c r="Q85" s="15">
        <f xml:space="preserve"> (playerGameStats!$R85 * 2) + (playerGameStats!$S85 * 3) + (playerGameStats!$T85)</f>
        <v>2</v>
      </c>
      <c r="R85" s="15">
        <v>1</v>
      </c>
      <c r="S85" s="15">
        <v>0</v>
      </c>
      <c r="T85" s="15">
        <v>0</v>
      </c>
      <c r="U85" s="18">
        <v>0</v>
      </c>
    </row>
    <row r="86" spans="1:21" x14ac:dyDescent="0.25">
      <c r="A86" s="19" t="s">
        <v>347</v>
      </c>
      <c r="B86" s="20">
        <v>2026</v>
      </c>
      <c r="C86" s="20" t="s">
        <v>36</v>
      </c>
      <c r="D86" s="20">
        <v>2</v>
      </c>
      <c r="E86" s="21">
        <v>46126</v>
      </c>
      <c r="F86" s="22">
        <v>0.8125</v>
      </c>
      <c r="G86" s="20" t="s">
        <v>18</v>
      </c>
      <c r="H86" s="20" t="s">
        <v>310</v>
      </c>
      <c r="I86" s="20" t="s">
        <v>300</v>
      </c>
      <c r="J86" s="20" t="s">
        <v>16</v>
      </c>
      <c r="K86" s="20" t="s">
        <v>44</v>
      </c>
      <c r="L86" s="20" t="s">
        <v>15</v>
      </c>
      <c r="M86" s="20" t="s">
        <v>48</v>
      </c>
      <c r="N86" s="20" t="s">
        <v>276</v>
      </c>
      <c r="O86" s="20" t="str">
        <f>_xlfn.XLOOKUP(N86,players!A:A,players!D:D,"")</f>
        <v>Matt Kasper</v>
      </c>
      <c r="P86" s="20" cm="1">
        <f t="array" ref="P86">_xlfn.XLOOKUP(I86&amp;N86,rosterSpots!B:B&amp;rosterSpots!D:D,rosterSpots!E:E,"")</f>
        <v>7</v>
      </c>
      <c r="Q86" s="20">
        <f xml:space="preserve"> (playerGameStats!$R86 * 2) + (playerGameStats!$S86 * 3) + (playerGameStats!$T86)</f>
        <v>2</v>
      </c>
      <c r="R86" s="20">
        <v>1</v>
      </c>
      <c r="S86" s="20">
        <v>0</v>
      </c>
      <c r="T86" s="20">
        <v>0</v>
      </c>
      <c r="U86" s="23">
        <v>0</v>
      </c>
    </row>
    <row r="87" spans="1:21" x14ac:dyDescent="0.25">
      <c r="A87" s="14" t="s">
        <v>347</v>
      </c>
      <c r="B87" s="15">
        <v>2026</v>
      </c>
      <c r="C87" s="15" t="s">
        <v>36</v>
      </c>
      <c r="D87" s="15">
        <v>2</v>
      </c>
      <c r="E87" s="16">
        <v>46126</v>
      </c>
      <c r="F87" s="17">
        <v>0.8125</v>
      </c>
      <c r="G87" s="15" t="s">
        <v>18</v>
      </c>
      <c r="H87" s="15" t="s">
        <v>310</v>
      </c>
      <c r="I87" s="15" t="s">
        <v>300</v>
      </c>
      <c r="J87" s="15" t="s">
        <v>16</v>
      </c>
      <c r="K87" s="15" t="s">
        <v>44</v>
      </c>
      <c r="L87" s="15" t="s">
        <v>15</v>
      </c>
      <c r="M87" s="15" t="s">
        <v>48</v>
      </c>
      <c r="N87" s="15" t="s">
        <v>275</v>
      </c>
      <c r="O87" s="15" t="str">
        <f>_xlfn.XLOOKUP(N87,players!A:A,players!D:D,"")</f>
        <v>Thomas Hays</v>
      </c>
      <c r="P87" s="15" cm="1">
        <f t="array" ref="P87">_xlfn.XLOOKUP(I87&amp;N87,rosterSpots!B:B&amp;rosterSpots!D:D,rosterSpots!E:E,"")</f>
        <v>8</v>
      </c>
      <c r="Q87" s="15">
        <f xml:space="preserve"> (playerGameStats!$R87 * 2) + (playerGameStats!$S87 * 3) + (playerGameStats!$T87)</f>
        <v>12</v>
      </c>
      <c r="R87" s="15">
        <v>5</v>
      </c>
      <c r="S87" s="15">
        <v>0</v>
      </c>
      <c r="T87" s="15">
        <v>2</v>
      </c>
      <c r="U87" s="18">
        <v>3</v>
      </c>
    </row>
    <row r="88" spans="1:21" x14ac:dyDescent="0.25">
      <c r="A88" s="19" t="s">
        <v>347</v>
      </c>
      <c r="B88" s="20">
        <v>2026</v>
      </c>
      <c r="C88" s="20" t="s">
        <v>36</v>
      </c>
      <c r="D88" s="20">
        <v>2</v>
      </c>
      <c r="E88" s="21">
        <v>46126</v>
      </c>
      <c r="F88" s="22">
        <v>0.8125</v>
      </c>
      <c r="G88" s="20" t="s">
        <v>18</v>
      </c>
      <c r="H88" s="20" t="s">
        <v>310</v>
      </c>
      <c r="I88" s="20" t="s">
        <v>300</v>
      </c>
      <c r="J88" s="20" t="s">
        <v>16</v>
      </c>
      <c r="K88" s="20" t="s">
        <v>44</v>
      </c>
      <c r="L88" s="20" t="s">
        <v>15</v>
      </c>
      <c r="M88" s="20" t="s">
        <v>48</v>
      </c>
      <c r="N88" s="20" t="s">
        <v>282</v>
      </c>
      <c r="O88" s="20" t="str">
        <f>_xlfn.XLOOKUP(N88,players!A:A,players!D:D,"")</f>
        <v>Guillermo Jacquez</v>
      </c>
      <c r="P88" s="20" cm="1">
        <f t="array" ref="P88">_xlfn.XLOOKUP(I88&amp;N88,rosterSpots!B:B&amp;rosterSpots!D:D,rosterSpots!E:E,"")</f>
        <v>13</v>
      </c>
      <c r="Q88" s="20">
        <f xml:space="preserve"> (playerGameStats!$R88 * 2) + (playerGameStats!$S88 * 3) + (playerGameStats!$T88)</f>
        <v>3</v>
      </c>
      <c r="R88" s="20">
        <v>0</v>
      </c>
      <c r="S88" s="20">
        <v>1</v>
      </c>
      <c r="T88" s="20">
        <v>0</v>
      </c>
      <c r="U88" s="23">
        <v>4</v>
      </c>
    </row>
    <row r="89" spans="1:21" x14ac:dyDescent="0.25">
      <c r="A89" s="14" t="s">
        <v>347</v>
      </c>
      <c r="B89" s="15">
        <v>2026</v>
      </c>
      <c r="C89" s="15" t="s">
        <v>36</v>
      </c>
      <c r="D89" s="15">
        <v>2</v>
      </c>
      <c r="E89" s="16">
        <v>46126</v>
      </c>
      <c r="F89" s="17">
        <v>0.8125</v>
      </c>
      <c r="G89" s="15" t="s">
        <v>18</v>
      </c>
      <c r="H89" s="15" t="s">
        <v>310</v>
      </c>
      <c r="I89" s="15" t="s">
        <v>300</v>
      </c>
      <c r="J89" s="15" t="s">
        <v>16</v>
      </c>
      <c r="K89" s="15" t="s">
        <v>44</v>
      </c>
      <c r="L89" s="15" t="s">
        <v>15</v>
      </c>
      <c r="M89" s="15" t="s">
        <v>48</v>
      </c>
      <c r="N89" s="15" t="s">
        <v>274</v>
      </c>
      <c r="O89" s="15" t="str">
        <f>_xlfn.XLOOKUP(N89,players!A:A,players!D:D,"")</f>
        <v>David Hays</v>
      </c>
      <c r="P89" s="15" cm="1">
        <f t="array" ref="P89">_xlfn.XLOOKUP(I89&amp;N89,rosterSpots!B:B&amp;rosterSpots!D:D,rosterSpots!E:E,"")</f>
        <v>17</v>
      </c>
      <c r="Q89" s="15">
        <f xml:space="preserve"> (playerGameStats!$R89 * 2) + (playerGameStats!$S89 * 3) + (playerGameStats!$T89)</f>
        <v>4</v>
      </c>
      <c r="R89" s="15">
        <v>1</v>
      </c>
      <c r="S89" s="15">
        <v>0</v>
      </c>
      <c r="T89" s="15">
        <v>2</v>
      </c>
      <c r="U89" s="18">
        <v>2</v>
      </c>
    </row>
    <row r="90" spans="1:21" x14ac:dyDescent="0.25">
      <c r="A90" s="19" t="s">
        <v>347</v>
      </c>
      <c r="B90" s="20">
        <v>2026</v>
      </c>
      <c r="C90" s="20" t="s">
        <v>36</v>
      </c>
      <c r="D90" s="20">
        <v>2</v>
      </c>
      <c r="E90" s="21">
        <v>46126</v>
      </c>
      <c r="F90" s="22">
        <v>0.8125</v>
      </c>
      <c r="G90" s="20" t="s">
        <v>18</v>
      </c>
      <c r="H90" s="20" t="s">
        <v>310</v>
      </c>
      <c r="I90" s="20" t="s">
        <v>300</v>
      </c>
      <c r="J90" s="20" t="s">
        <v>16</v>
      </c>
      <c r="K90" s="20" t="s">
        <v>44</v>
      </c>
      <c r="L90" s="20" t="s">
        <v>15</v>
      </c>
      <c r="M90" s="20" t="s">
        <v>48</v>
      </c>
      <c r="N90" s="20" t="s">
        <v>279</v>
      </c>
      <c r="O90" s="20" t="str">
        <f>_xlfn.XLOOKUP(N90,players!A:A,players!D:D,"")</f>
        <v>Jose Toledo</v>
      </c>
      <c r="P90" s="20" cm="1">
        <f t="array" ref="P90">_xlfn.XLOOKUP(I90&amp;N90,rosterSpots!B:B&amp;rosterSpots!D:D,rosterSpots!E:E,"")</f>
        <v>25</v>
      </c>
      <c r="Q90" s="20">
        <f xml:space="preserve"> (playerGameStats!$R90 * 2) + (playerGameStats!$S90 * 3) + (playerGameStats!$T90)</f>
        <v>11</v>
      </c>
      <c r="R90" s="20">
        <v>4</v>
      </c>
      <c r="S90" s="20">
        <v>1</v>
      </c>
      <c r="T90" s="20">
        <v>0</v>
      </c>
      <c r="U90" s="23">
        <v>0</v>
      </c>
    </row>
    <row r="91" spans="1:21" x14ac:dyDescent="0.25">
      <c r="A91" s="14" t="s">
        <v>347</v>
      </c>
      <c r="B91" s="15">
        <v>2026</v>
      </c>
      <c r="C91" s="15" t="s">
        <v>36</v>
      </c>
      <c r="D91" s="15">
        <v>2</v>
      </c>
      <c r="E91" s="16">
        <v>46126</v>
      </c>
      <c r="F91" s="17">
        <v>0.8125</v>
      </c>
      <c r="G91" s="15" t="s">
        <v>18</v>
      </c>
      <c r="H91" s="15" t="s">
        <v>310</v>
      </c>
      <c r="I91" s="15" t="s">
        <v>300</v>
      </c>
      <c r="J91" s="15" t="s">
        <v>16</v>
      </c>
      <c r="K91" s="15" t="s">
        <v>44</v>
      </c>
      <c r="L91" s="15" t="s">
        <v>15</v>
      </c>
      <c r="M91" s="15" t="s">
        <v>48</v>
      </c>
      <c r="N91" s="15" t="s">
        <v>280</v>
      </c>
      <c r="O91" s="15" t="str">
        <f>_xlfn.XLOOKUP(N91,players!A:A,players!D:D,"")</f>
        <v>Russel Verceles</v>
      </c>
      <c r="P91" s="15" cm="1">
        <f t="array" ref="P91">_xlfn.XLOOKUP(I91&amp;N91,rosterSpots!B:B&amp;rosterSpots!D:D,rosterSpots!E:E,"")</f>
        <v>32</v>
      </c>
      <c r="Q91" s="15">
        <f xml:space="preserve"> (playerGameStats!$R91 * 2) + (playerGameStats!$S91 * 3) + (playerGameStats!$T91)</f>
        <v>2</v>
      </c>
      <c r="R91" s="15">
        <v>0</v>
      </c>
      <c r="S91" s="15">
        <v>0</v>
      </c>
      <c r="T91" s="15">
        <v>2</v>
      </c>
      <c r="U91" s="18">
        <v>2</v>
      </c>
    </row>
    <row r="92" spans="1:21" x14ac:dyDescent="0.25">
      <c r="A92" s="19" t="s">
        <v>346</v>
      </c>
      <c r="B92" s="20">
        <v>2026</v>
      </c>
      <c r="C92" s="20" t="s">
        <v>36</v>
      </c>
      <c r="D92" s="20">
        <v>2</v>
      </c>
      <c r="E92" s="21">
        <v>46126</v>
      </c>
      <c r="F92" s="22">
        <v>0.85416666666666663</v>
      </c>
      <c r="G92" s="20" t="s">
        <v>18</v>
      </c>
      <c r="H92" s="20" t="s">
        <v>310</v>
      </c>
      <c r="I92" s="20" t="s">
        <v>295</v>
      </c>
      <c r="J92" s="20" t="s">
        <v>11</v>
      </c>
      <c r="K92" s="20" t="s">
        <v>45</v>
      </c>
      <c r="L92" s="20" t="s">
        <v>17</v>
      </c>
      <c r="M92" s="20" t="s">
        <v>49</v>
      </c>
      <c r="N92" s="20" t="s">
        <v>232</v>
      </c>
      <c r="O92" s="20" t="str">
        <f>_xlfn.XLOOKUP(N92,players!A:A,players!D:D,"")</f>
        <v>Patrick Bellino</v>
      </c>
      <c r="P92" s="20" cm="1">
        <f t="array" ref="P92">_xlfn.XLOOKUP(I92&amp;N92,rosterSpots!B:B&amp;rosterSpots!D:D,rosterSpots!E:E,"")</f>
        <v>1</v>
      </c>
      <c r="Q92" s="20">
        <f xml:space="preserve"> (playerGameStats!$R92 * 2) + (playerGameStats!$S92 * 3) + (playerGameStats!$T92)</f>
        <v>3</v>
      </c>
      <c r="R92" s="20">
        <v>0</v>
      </c>
      <c r="S92" s="20">
        <v>1</v>
      </c>
      <c r="T92" s="20">
        <v>0</v>
      </c>
      <c r="U92" s="23">
        <v>0</v>
      </c>
    </row>
    <row r="93" spans="1:21" x14ac:dyDescent="0.25">
      <c r="A93" s="14" t="s">
        <v>346</v>
      </c>
      <c r="B93" s="15">
        <v>2026</v>
      </c>
      <c r="C93" s="15" t="s">
        <v>36</v>
      </c>
      <c r="D93" s="15">
        <v>2</v>
      </c>
      <c r="E93" s="16">
        <v>46126</v>
      </c>
      <c r="F93" s="17">
        <v>0.85416666666666663</v>
      </c>
      <c r="G93" s="15" t="s">
        <v>18</v>
      </c>
      <c r="H93" s="15" t="s">
        <v>310</v>
      </c>
      <c r="I93" s="15" t="s">
        <v>295</v>
      </c>
      <c r="J93" s="15" t="s">
        <v>11</v>
      </c>
      <c r="K93" s="15" t="s">
        <v>45</v>
      </c>
      <c r="L93" s="15" t="s">
        <v>17</v>
      </c>
      <c r="M93" s="15" t="s">
        <v>49</v>
      </c>
      <c r="N93" s="15" t="s">
        <v>226</v>
      </c>
      <c r="O93" s="15" t="str">
        <f>_xlfn.XLOOKUP(N93,players!A:A,players!D:D,"")</f>
        <v>Mike Ziller</v>
      </c>
      <c r="P93" s="15" cm="1">
        <f t="array" ref="P93">_xlfn.XLOOKUP(I93&amp;N93,rosterSpots!B:B&amp;rosterSpots!D:D,rosterSpots!E:E,"")</f>
        <v>2</v>
      </c>
      <c r="Q93" s="15">
        <f xml:space="preserve"> (playerGameStats!$R93 * 2) + (playerGameStats!$S93 * 3) + (playerGameStats!$T93)</f>
        <v>7</v>
      </c>
      <c r="R93" s="15">
        <v>2</v>
      </c>
      <c r="S93" s="15">
        <v>1</v>
      </c>
      <c r="T93" s="15">
        <v>0</v>
      </c>
      <c r="U93" s="18">
        <v>0</v>
      </c>
    </row>
    <row r="94" spans="1:21" x14ac:dyDescent="0.25">
      <c r="A94" s="19" t="s">
        <v>346</v>
      </c>
      <c r="B94" s="20">
        <v>2026</v>
      </c>
      <c r="C94" s="20" t="s">
        <v>36</v>
      </c>
      <c r="D94" s="20">
        <v>2</v>
      </c>
      <c r="E94" s="21">
        <v>46126</v>
      </c>
      <c r="F94" s="22">
        <v>0.85416666666666663</v>
      </c>
      <c r="G94" s="20" t="s">
        <v>18</v>
      </c>
      <c r="H94" s="20" t="s">
        <v>310</v>
      </c>
      <c r="I94" s="20" t="s">
        <v>295</v>
      </c>
      <c r="J94" s="20" t="s">
        <v>11</v>
      </c>
      <c r="K94" s="20" t="s">
        <v>45</v>
      </c>
      <c r="L94" s="20" t="s">
        <v>17</v>
      </c>
      <c r="M94" s="20" t="s">
        <v>49</v>
      </c>
      <c r="N94" s="20" t="s">
        <v>230</v>
      </c>
      <c r="O94" s="20" t="str">
        <f>_xlfn.XLOOKUP(N94,players!A:A,players!D:D,"")</f>
        <v>Angel Carrion</v>
      </c>
      <c r="P94" s="20" cm="1">
        <f t="array" ref="P94">_xlfn.XLOOKUP(I94&amp;N94,rosterSpots!B:B&amp;rosterSpots!D:D,rosterSpots!E:E,"")</f>
        <v>7</v>
      </c>
      <c r="Q94" s="20">
        <f xml:space="preserve"> (playerGameStats!$R94 * 2) + (playerGameStats!$S94 * 3) + (playerGameStats!$T94)</f>
        <v>8</v>
      </c>
      <c r="R94" s="20">
        <v>1</v>
      </c>
      <c r="S94" s="20">
        <v>2</v>
      </c>
      <c r="T94" s="20">
        <v>0</v>
      </c>
      <c r="U94" s="23">
        <v>0</v>
      </c>
    </row>
    <row r="95" spans="1:21" x14ac:dyDescent="0.25">
      <c r="A95" s="14" t="s">
        <v>346</v>
      </c>
      <c r="B95" s="15">
        <v>2026</v>
      </c>
      <c r="C95" s="15" t="s">
        <v>36</v>
      </c>
      <c r="D95" s="15">
        <v>2</v>
      </c>
      <c r="E95" s="16">
        <v>46126</v>
      </c>
      <c r="F95" s="17">
        <v>0.85416666666666663</v>
      </c>
      <c r="G95" s="15" t="s">
        <v>18</v>
      </c>
      <c r="H95" s="15" t="s">
        <v>310</v>
      </c>
      <c r="I95" s="15" t="s">
        <v>295</v>
      </c>
      <c r="J95" s="15" t="s">
        <v>11</v>
      </c>
      <c r="K95" s="15" t="s">
        <v>45</v>
      </c>
      <c r="L95" s="15" t="s">
        <v>17</v>
      </c>
      <c r="M95" s="15" t="s">
        <v>49</v>
      </c>
      <c r="N95" s="15" t="s">
        <v>234</v>
      </c>
      <c r="O95" s="15" t="str">
        <f>_xlfn.XLOOKUP(N95,players!A:A,players!D:D,"")</f>
        <v>Brendan Scott</v>
      </c>
      <c r="P95" s="15" cm="1">
        <f t="array" ref="P95">_xlfn.XLOOKUP(I95&amp;N95,rosterSpots!B:B&amp;rosterSpots!D:D,rosterSpots!E:E,"")</f>
        <v>11</v>
      </c>
      <c r="Q95" s="15">
        <f xml:space="preserve"> (playerGameStats!$R95 * 2) + (playerGameStats!$S95 * 3) + (playerGameStats!$T95)</f>
        <v>14</v>
      </c>
      <c r="R95" s="15">
        <v>4</v>
      </c>
      <c r="S95" s="15">
        <v>1</v>
      </c>
      <c r="T95" s="15">
        <v>3</v>
      </c>
      <c r="U95" s="18">
        <v>4</v>
      </c>
    </row>
    <row r="96" spans="1:21" x14ac:dyDescent="0.25">
      <c r="A96" s="19" t="s">
        <v>346</v>
      </c>
      <c r="B96" s="20">
        <v>2026</v>
      </c>
      <c r="C96" s="20" t="s">
        <v>36</v>
      </c>
      <c r="D96" s="20">
        <v>2</v>
      </c>
      <c r="E96" s="21">
        <v>46126</v>
      </c>
      <c r="F96" s="22">
        <v>0.85416666666666663</v>
      </c>
      <c r="G96" s="20" t="s">
        <v>18</v>
      </c>
      <c r="H96" s="20" t="s">
        <v>310</v>
      </c>
      <c r="I96" s="20" t="s">
        <v>295</v>
      </c>
      <c r="J96" s="20" t="s">
        <v>11</v>
      </c>
      <c r="K96" s="20" t="s">
        <v>45</v>
      </c>
      <c r="L96" s="20" t="s">
        <v>17</v>
      </c>
      <c r="M96" s="20" t="s">
        <v>49</v>
      </c>
      <c r="N96" s="20" t="s">
        <v>228</v>
      </c>
      <c r="O96" s="20" t="str">
        <f>_xlfn.XLOOKUP(N96,players!A:A,players!D:D,"")</f>
        <v>Scott Brusseler</v>
      </c>
      <c r="P96" s="20" cm="1">
        <f t="array" ref="P96">_xlfn.XLOOKUP(I96&amp;N96,rosterSpots!B:B&amp;rosterSpots!D:D,rosterSpots!E:E,"")</f>
        <v>14</v>
      </c>
      <c r="Q96" s="20">
        <f xml:space="preserve"> (playerGameStats!$R96 * 2) + (playerGameStats!$S96 * 3) + (playerGameStats!$T96)</f>
        <v>14</v>
      </c>
      <c r="R96" s="20">
        <v>6</v>
      </c>
      <c r="S96" s="20">
        <v>0</v>
      </c>
      <c r="T96" s="20">
        <v>2</v>
      </c>
      <c r="U96" s="23">
        <v>6</v>
      </c>
    </row>
    <row r="97" spans="1:21" x14ac:dyDescent="0.25">
      <c r="A97" s="14" t="s">
        <v>346</v>
      </c>
      <c r="B97" s="15">
        <v>2026</v>
      </c>
      <c r="C97" s="15" t="s">
        <v>36</v>
      </c>
      <c r="D97" s="15">
        <v>2</v>
      </c>
      <c r="E97" s="16">
        <v>46126</v>
      </c>
      <c r="F97" s="17">
        <v>0.85416666666666663</v>
      </c>
      <c r="G97" s="15" t="s">
        <v>18</v>
      </c>
      <c r="H97" s="15" t="s">
        <v>310</v>
      </c>
      <c r="I97" s="15" t="s">
        <v>295</v>
      </c>
      <c r="J97" s="15" t="s">
        <v>11</v>
      </c>
      <c r="K97" s="15" t="s">
        <v>45</v>
      </c>
      <c r="L97" s="15" t="s">
        <v>17</v>
      </c>
      <c r="M97" s="15" t="s">
        <v>49</v>
      </c>
      <c r="N97" s="15" t="s">
        <v>231</v>
      </c>
      <c r="O97" s="15" t="str">
        <f>_xlfn.XLOOKUP(N97,players!A:A,players!D:D,"")</f>
        <v>Gates Brooks</v>
      </c>
      <c r="P97" s="15" cm="1">
        <f t="array" ref="P97">_xlfn.XLOOKUP(I97&amp;N97,rosterSpots!B:B&amp;rosterSpots!D:D,rosterSpots!E:E,"")</f>
        <v>43</v>
      </c>
      <c r="Q97" s="15">
        <f xml:space="preserve"> (playerGameStats!$R97 * 2) + (playerGameStats!$S97 * 3) + (playerGameStats!$T97)</f>
        <v>1</v>
      </c>
      <c r="R97" s="15">
        <v>0</v>
      </c>
      <c r="S97" s="15">
        <v>0</v>
      </c>
      <c r="T97" s="15">
        <v>1</v>
      </c>
      <c r="U97" s="18">
        <v>2</v>
      </c>
    </row>
    <row r="98" spans="1:21" x14ac:dyDescent="0.25">
      <c r="A98" s="19" t="s">
        <v>346</v>
      </c>
      <c r="B98" s="20">
        <v>2026</v>
      </c>
      <c r="C98" s="20" t="s">
        <v>36</v>
      </c>
      <c r="D98" s="20">
        <v>2</v>
      </c>
      <c r="E98" s="21">
        <v>46126</v>
      </c>
      <c r="F98" s="22">
        <v>0.85416666666666663</v>
      </c>
      <c r="G98" s="20" t="s">
        <v>18</v>
      </c>
      <c r="H98" s="20" t="s">
        <v>310</v>
      </c>
      <c r="I98" s="20" t="s">
        <v>295</v>
      </c>
      <c r="J98" s="20" t="s">
        <v>11</v>
      </c>
      <c r="K98" s="20" t="s">
        <v>45</v>
      </c>
      <c r="L98" s="20" t="s">
        <v>17</v>
      </c>
      <c r="M98" s="20" t="s">
        <v>49</v>
      </c>
      <c r="N98" s="20" t="s">
        <v>229</v>
      </c>
      <c r="O98" s="20" t="str">
        <f>_xlfn.XLOOKUP(N98,players!A:A,players!D:D,"")</f>
        <v>Anthony Shelepets</v>
      </c>
      <c r="P98" s="20" cm="1">
        <f t="array" ref="P98">_xlfn.XLOOKUP(I98&amp;N98,rosterSpots!B:B&amp;rosterSpots!D:D,rosterSpots!E:E,"")</f>
        <v>53</v>
      </c>
      <c r="Q98" s="20">
        <f xml:space="preserve"> (playerGameStats!$R98 * 2) + (playerGameStats!$S98 * 3) + (playerGameStats!$T98)</f>
        <v>23</v>
      </c>
      <c r="R98" s="20">
        <v>11</v>
      </c>
      <c r="S98" s="20">
        <v>0</v>
      </c>
      <c r="T98" s="20">
        <v>1</v>
      </c>
      <c r="U98" s="23">
        <v>3</v>
      </c>
    </row>
    <row r="99" spans="1:21" x14ac:dyDescent="0.25">
      <c r="A99" s="14" t="s">
        <v>346</v>
      </c>
      <c r="B99" s="15">
        <v>2026</v>
      </c>
      <c r="C99" s="15" t="s">
        <v>36</v>
      </c>
      <c r="D99" s="15">
        <v>2</v>
      </c>
      <c r="E99" s="16">
        <v>46126</v>
      </c>
      <c r="F99" s="17">
        <v>0.85416666666666663</v>
      </c>
      <c r="G99" s="15" t="s">
        <v>18</v>
      </c>
      <c r="H99" s="15" t="s">
        <v>310</v>
      </c>
      <c r="I99" s="15" t="s">
        <v>301</v>
      </c>
      <c r="J99" s="15" t="s">
        <v>17</v>
      </c>
      <c r="K99" s="15" t="s">
        <v>49</v>
      </c>
      <c r="L99" s="15" t="s">
        <v>11</v>
      </c>
      <c r="M99" s="15" t="s">
        <v>45</v>
      </c>
      <c r="N99" s="15" t="s">
        <v>285</v>
      </c>
      <c r="O99" s="15" t="str">
        <f>_xlfn.XLOOKUP(N99,players!A:A,players!D:D,"")</f>
        <v>Raeid Choudhury</v>
      </c>
      <c r="P99" s="15" cm="1">
        <f t="array" ref="P99">_xlfn.XLOOKUP(I99&amp;N99,rosterSpots!B:B&amp;rosterSpots!D:D,rosterSpots!E:E,"")</f>
        <v>1</v>
      </c>
      <c r="Q99" s="15">
        <f xml:space="preserve"> (playerGameStats!$R99 * 2) + (playerGameStats!$S99 * 3) + (playerGameStats!$T99)</f>
        <v>8</v>
      </c>
      <c r="R99" s="15">
        <v>1</v>
      </c>
      <c r="S99" s="15">
        <v>2</v>
      </c>
      <c r="T99" s="15">
        <v>0</v>
      </c>
      <c r="U99" s="18">
        <v>0</v>
      </c>
    </row>
    <row r="100" spans="1:21" x14ac:dyDescent="0.25">
      <c r="A100" s="19" t="s">
        <v>346</v>
      </c>
      <c r="B100" s="20">
        <v>2026</v>
      </c>
      <c r="C100" s="20" t="s">
        <v>36</v>
      </c>
      <c r="D100" s="20">
        <v>2</v>
      </c>
      <c r="E100" s="21">
        <v>46126</v>
      </c>
      <c r="F100" s="22">
        <v>0.85416666666666663</v>
      </c>
      <c r="G100" s="20" t="s">
        <v>18</v>
      </c>
      <c r="H100" s="20" t="s">
        <v>310</v>
      </c>
      <c r="I100" s="20" t="s">
        <v>301</v>
      </c>
      <c r="J100" s="20" t="s">
        <v>17</v>
      </c>
      <c r="K100" s="20" t="s">
        <v>49</v>
      </c>
      <c r="L100" s="20" t="s">
        <v>11</v>
      </c>
      <c r="M100" s="20" t="s">
        <v>45</v>
      </c>
      <c r="N100" s="20" t="s">
        <v>290</v>
      </c>
      <c r="O100" s="20" t="str">
        <f>_xlfn.XLOOKUP(N100,players!A:A,players!D:D,"")</f>
        <v>Cray Cordero</v>
      </c>
      <c r="P100" s="20" cm="1">
        <f t="array" ref="P100">_xlfn.XLOOKUP(I100&amp;N100,rosterSpots!B:B&amp;rosterSpots!D:D,rosterSpots!E:E,"")</f>
        <v>8</v>
      </c>
      <c r="Q100" s="20">
        <f xml:space="preserve"> (playerGameStats!$R100 * 2) + (playerGameStats!$S100 * 3) + (playerGameStats!$T100)</f>
        <v>3</v>
      </c>
      <c r="R100" s="20">
        <v>0</v>
      </c>
      <c r="S100" s="20">
        <v>1</v>
      </c>
      <c r="T100" s="20">
        <v>0</v>
      </c>
      <c r="U100" s="23">
        <v>0</v>
      </c>
    </row>
    <row r="101" spans="1:21" x14ac:dyDescent="0.25">
      <c r="A101" s="14" t="s">
        <v>346</v>
      </c>
      <c r="B101" s="15">
        <v>2026</v>
      </c>
      <c r="C101" s="15" t="s">
        <v>36</v>
      </c>
      <c r="D101" s="15">
        <v>2</v>
      </c>
      <c r="E101" s="16">
        <v>46126</v>
      </c>
      <c r="F101" s="17">
        <v>0.85416666666666663</v>
      </c>
      <c r="G101" s="15" t="s">
        <v>18</v>
      </c>
      <c r="H101" s="15" t="s">
        <v>310</v>
      </c>
      <c r="I101" s="15" t="s">
        <v>301</v>
      </c>
      <c r="J101" s="15" t="s">
        <v>17</v>
      </c>
      <c r="K101" s="15" t="s">
        <v>49</v>
      </c>
      <c r="L101" s="15" t="s">
        <v>11</v>
      </c>
      <c r="M101" s="15" t="s">
        <v>45</v>
      </c>
      <c r="N101" s="15" t="s">
        <v>288</v>
      </c>
      <c r="O101" s="15" t="str">
        <f>_xlfn.XLOOKUP(N101,players!A:A,players!D:D,"")</f>
        <v>Vanardo Banks</v>
      </c>
      <c r="P101" s="15" cm="1">
        <f t="array" ref="P101">_xlfn.XLOOKUP(I101&amp;N101,rosterSpots!B:B&amp;rosterSpots!D:D,rosterSpots!E:E,"")</f>
        <v>10</v>
      </c>
      <c r="Q101" s="15">
        <f xml:space="preserve"> (playerGameStats!$R101 * 2) + (playerGameStats!$S101 * 3) + (playerGameStats!$T101)</f>
        <v>4</v>
      </c>
      <c r="R101" s="15">
        <v>1</v>
      </c>
      <c r="S101" s="15">
        <v>0</v>
      </c>
      <c r="T101" s="15">
        <v>2</v>
      </c>
      <c r="U101" s="18">
        <v>2</v>
      </c>
    </row>
    <row r="102" spans="1:21" x14ac:dyDescent="0.25">
      <c r="A102" s="19" t="s">
        <v>346</v>
      </c>
      <c r="B102" s="20">
        <v>2026</v>
      </c>
      <c r="C102" s="20" t="s">
        <v>36</v>
      </c>
      <c r="D102" s="20">
        <v>2</v>
      </c>
      <c r="E102" s="21">
        <v>46126</v>
      </c>
      <c r="F102" s="22">
        <v>0.85416666666666663</v>
      </c>
      <c r="G102" s="20" t="s">
        <v>18</v>
      </c>
      <c r="H102" s="20" t="s">
        <v>310</v>
      </c>
      <c r="I102" s="20" t="s">
        <v>301</v>
      </c>
      <c r="J102" s="20" t="s">
        <v>17</v>
      </c>
      <c r="K102" s="20" t="s">
        <v>49</v>
      </c>
      <c r="L102" s="20" t="s">
        <v>11</v>
      </c>
      <c r="M102" s="20" t="s">
        <v>45</v>
      </c>
      <c r="N102" s="20" t="s">
        <v>292</v>
      </c>
      <c r="O102" s="20" t="str">
        <f>_xlfn.XLOOKUP(N102,players!A:A,players!D:D,"")</f>
        <v>Junior Peralta</v>
      </c>
      <c r="P102" s="20" cm="1">
        <f t="array" ref="P102">_xlfn.XLOOKUP(I102&amp;N102,rosterSpots!B:B&amp;rosterSpots!D:D,rosterSpots!E:E,"")</f>
        <v>12</v>
      </c>
      <c r="Q102" s="20">
        <f xml:space="preserve"> (playerGameStats!$R102 * 2) + (playerGameStats!$S102 * 3) + (playerGameStats!$T102)</f>
        <v>0</v>
      </c>
      <c r="R102" s="20">
        <v>0</v>
      </c>
      <c r="S102" s="20">
        <v>0</v>
      </c>
      <c r="T102" s="20">
        <v>0</v>
      </c>
      <c r="U102" s="23">
        <v>0</v>
      </c>
    </row>
    <row r="103" spans="1:21" x14ac:dyDescent="0.25">
      <c r="A103" s="14" t="s">
        <v>346</v>
      </c>
      <c r="B103" s="15">
        <v>2026</v>
      </c>
      <c r="C103" s="15" t="s">
        <v>36</v>
      </c>
      <c r="D103" s="15">
        <v>2</v>
      </c>
      <c r="E103" s="16">
        <v>46126</v>
      </c>
      <c r="F103" s="17">
        <v>0.85416666666666663</v>
      </c>
      <c r="G103" s="15" t="s">
        <v>18</v>
      </c>
      <c r="H103" s="15" t="s">
        <v>310</v>
      </c>
      <c r="I103" s="15" t="s">
        <v>301</v>
      </c>
      <c r="J103" s="15" t="s">
        <v>17</v>
      </c>
      <c r="K103" s="15" t="s">
        <v>49</v>
      </c>
      <c r="L103" s="15" t="s">
        <v>11</v>
      </c>
      <c r="M103" s="15" t="s">
        <v>45</v>
      </c>
      <c r="N103" s="15" t="s">
        <v>283</v>
      </c>
      <c r="O103" s="15" t="str">
        <f>_xlfn.XLOOKUP(N103,players!A:A,players!D:D,"")</f>
        <v>Jordan Williams</v>
      </c>
      <c r="P103" s="15" cm="1">
        <f t="array" ref="P103">_xlfn.XLOOKUP(I103&amp;N103,rosterSpots!B:B&amp;rosterSpots!D:D,rosterSpots!E:E,"")</f>
        <v>15</v>
      </c>
      <c r="Q103" s="15">
        <f xml:space="preserve"> (playerGameStats!$R103 * 2) + (playerGameStats!$S103 * 3) + (playerGameStats!$T103)</f>
        <v>7</v>
      </c>
      <c r="R103" s="15">
        <v>3</v>
      </c>
      <c r="S103" s="15">
        <v>0</v>
      </c>
      <c r="T103" s="15">
        <v>1</v>
      </c>
      <c r="U103" s="18">
        <v>1</v>
      </c>
    </row>
    <row r="104" spans="1:21" x14ac:dyDescent="0.25">
      <c r="A104" s="19" t="s">
        <v>346</v>
      </c>
      <c r="B104" s="20">
        <v>2026</v>
      </c>
      <c r="C104" s="20" t="s">
        <v>36</v>
      </c>
      <c r="D104" s="20">
        <v>2</v>
      </c>
      <c r="E104" s="21">
        <v>46126</v>
      </c>
      <c r="F104" s="22">
        <v>0.85416666666666663</v>
      </c>
      <c r="G104" s="20" t="s">
        <v>18</v>
      </c>
      <c r="H104" s="20" t="s">
        <v>310</v>
      </c>
      <c r="I104" s="20" t="s">
        <v>301</v>
      </c>
      <c r="J104" s="20" t="s">
        <v>17</v>
      </c>
      <c r="K104" s="20" t="s">
        <v>49</v>
      </c>
      <c r="L104" s="20" t="s">
        <v>11</v>
      </c>
      <c r="M104" s="20" t="s">
        <v>45</v>
      </c>
      <c r="N104" s="20" t="s">
        <v>289</v>
      </c>
      <c r="O104" s="20" t="str">
        <f>_xlfn.XLOOKUP(N104,players!A:A,players!D:D,"")</f>
        <v>Sean McAndrew</v>
      </c>
      <c r="P104" s="20" cm="1">
        <f t="array" ref="P104">_xlfn.XLOOKUP(I104&amp;N104,rosterSpots!B:B&amp;rosterSpots!D:D,rosterSpots!E:E,"")</f>
        <v>21</v>
      </c>
      <c r="Q104" s="20">
        <f xml:space="preserve"> (playerGameStats!$R104 * 2) + (playerGameStats!$S104 * 3) + (playerGameStats!$T104)</f>
        <v>10</v>
      </c>
      <c r="R104" s="20">
        <v>4</v>
      </c>
      <c r="S104" s="20">
        <v>0</v>
      </c>
      <c r="T104" s="20">
        <v>2</v>
      </c>
      <c r="U104" s="23">
        <v>4</v>
      </c>
    </row>
    <row r="105" spans="1:21" x14ac:dyDescent="0.25">
      <c r="A105" s="14" t="s">
        <v>346</v>
      </c>
      <c r="B105" s="15">
        <v>2026</v>
      </c>
      <c r="C105" s="15" t="s">
        <v>36</v>
      </c>
      <c r="D105" s="15">
        <v>2</v>
      </c>
      <c r="E105" s="16">
        <v>46126</v>
      </c>
      <c r="F105" s="17">
        <v>0.85416666666666663</v>
      </c>
      <c r="G105" s="15" t="s">
        <v>18</v>
      </c>
      <c r="H105" s="15" t="s">
        <v>310</v>
      </c>
      <c r="I105" s="15" t="s">
        <v>301</v>
      </c>
      <c r="J105" s="15" t="s">
        <v>17</v>
      </c>
      <c r="K105" s="15" t="s">
        <v>49</v>
      </c>
      <c r="L105" s="15" t="s">
        <v>11</v>
      </c>
      <c r="M105" s="15" t="s">
        <v>45</v>
      </c>
      <c r="N105" s="15" t="s">
        <v>293</v>
      </c>
      <c r="O105" s="15" t="str">
        <f>_xlfn.XLOOKUP(N105,players!A:A,players!D:D,"")</f>
        <v>Jossell De Coteau</v>
      </c>
      <c r="P105" s="15" cm="1">
        <f t="array" ref="P105">_xlfn.XLOOKUP(I105&amp;N105,rosterSpots!B:B&amp;rosterSpots!D:D,rosterSpots!E:E,"")</f>
        <v>28</v>
      </c>
      <c r="Q105" s="15">
        <f xml:space="preserve"> (playerGameStats!$R105 * 2) + (playerGameStats!$S105 * 3) + (playerGameStats!$T105)</f>
        <v>2</v>
      </c>
      <c r="R105" s="15">
        <v>1</v>
      </c>
      <c r="S105" s="15">
        <v>0</v>
      </c>
      <c r="T105" s="15">
        <v>0</v>
      </c>
      <c r="U105" s="18">
        <v>0</v>
      </c>
    </row>
    <row r="106" spans="1:21" x14ac:dyDescent="0.25">
      <c r="A106" s="19" t="s">
        <v>346</v>
      </c>
      <c r="B106" s="20">
        <v>2026</v>
      </c>
      <c r="C106" s="20" t="s">
        <v>36</v>
      </c>
      <c r="D106" s="20">
        <v>2</v>
      </c>
      <c r="E106" s="21">
        <v>46126</v>
      </c>
      <c r="F106" s="22">
        <v>0.85416666666666663</v>
      </c>
      <c r="G106" s="20" t="s">
        <v>18</v>
      </c>
      <c r="H106" s="20" t="s">
        <v>310</v>
      </c>
      <c r="I106" s="20" t="s">
        <v>301</v>
      </c>
      <c r="J106" s="20" t="s">
        <v>17</v>
      </c>
      <c r="K106" s="20" t="s">
        <v>49</v>
      </c>
      <c r="L106" s="20" t="s">
        <v>11</v>
      </c>
      <c r="M106" s="20" t="s">
        <v>45</v>
      </c>
      <c r="N106" s="20" t="s">
        <v>286</v>
      </c>
      <c r="O106" s="20" t="str">
        <f>_xlfn.XLOOKUP(N106,players!A:A,players!D:D,"")</f>
        <v>Grant Blasiak</v>
      </c>
      <c r="P106" s="20" cm="1">
        <f t="array" ref="P106">_xlfn.XLOOKUP(I106&amp;N106,rosterSpots!B:B&amp;rosterSpots!D:D,rosterSpots!E:E,"")</f>
        <v>55</v>
      </c>
      <c r="Q106" s="20">
        <f xml:space="preserve"> (playerGameStats!$R106 * 2) + (playerGameStats!$S106 * 3) + (playerGameStats!$T106)</f>
        <v>5</v>
      </c>
      <c r="R106" s="20">
        <v>1</v>
      </c>
      <c r="S106" s="20">
        <v>1</v>
      </c>
      <c r="T106" s="20">
        <v>0</v>
      </c>
      <c r="U106" s="23">
        <v>0</v>
      </c>
    </row>
    <row r="107" spans="1:21" x14ac:dyDescent="0.25">
      <c r="A107" s="14" t="s">
        <v>345</v>
      </c>
      <c r="B107" s="15">
        <v>2026</v>
      </c>
      <c r="C107" s="15" t="s">
        <v>36</v>
      </c>
      <c r="D107" s="15">
        <v>2</v>
      </c>
      <c r="E107" s="16">
        <v>46128</v>
      </c>
      <c r="F107" s="17">
        <v>0.77083333333333337</v>
      </c>
      <c r="G107" s="15" t="s">
        <v>18</v>
      </c>
      <c r="H107" s="15" t="s">
        <v>310</v>
      </c>
      <c r="I107" s="15" t="s">
        <v>299</v>
      </c>
      <c r="J107" s="15" t="s">
        <v>14</v>
      </c>
      <c r="K107" s="15" t="s">
        <v>43</v>
      </c>
      <c r="L107" s="15" t="s">
        <v>11</v>
      </c>
      <c r="M107" s="15" t="s">
        <v>45</v>
      </c>
      <c r="N107" s="15" t="s">
        <v>271</v>
      </c>
      <c r="O107" s="15" t="str">
        <f>_xlfn.XLOOKUP(N107,players!A:A,players!D:D,"")</f>
        <v>Courtney Cubbage</v>
      </c>
      <c r="P107" s="15" cm="1">
        <f t="array" ref="P107">_xlfn.XLOOKUP(I107&amp;N107,rosterSpots!B:B&amp;rosterSpots!D:D,rosterSpots!E:E,"")</f>
        <v>1</v>
      </c>
      <c r="Q107" s="15">
        <f xml:space="preserve"> (playerGameStats!$R107 * 2) + (playerGameStats!$S107 * 3) + (playerGameStats!$T107)</f>
        <v>8</v>
      </c>
      <c r="R107" s="15">
        <v>4</v>
      </c>
      <c r="S107" s="15">
        <v>0</v>
      </c>
      <c r="T107" s="15">
        <v>0</v>
      </c>
      <c r="U107" s="18">
        <v>0</v>
      </c>
    </row>
    <row r="108" spans="1:21" x14ac:dyDescent="0.25">
      <c r="A108" s="19" t="s">
        <v>345</v>
      </c>
      <c r="B108" s="20">
        <v>2026</v>
      </c>
      <c r="C108" s="20" t="s">
        <v>36</v>
      </c>
      <c r="D108" s="20">
        <v>2</v>
      </c>
      <c r="E108" s="21">
        <v>46128</v>
      </c>
      <c r="F108" s="22">
        <v>0.77083333333333337</v>
      </c>
      <c r="G108" s="20" t="s">
        <v>18</v>
      </c>
      <c r="H108" s="20" t="s">
        <v>310</v>
      </c>
      <c r="I108" s="20" t="s">
        <v>299</v>
      </c>
      <c r="J108" s="20" t="s">
        <v>14</v>
      </c>
      <c r="K108" s="20" t="s">
        <v>43</v>
      </c>
      <c r="L108" s="20" t="s">
        <v>11</v>
      </c>
      <c r="M108" s="20" t="s">
        <v>45</v>
      </c>
      <c r="N108" s="20" t="s">
        <v>268</v>
      </c>
      <c r="O108" s="20" t="str">
        <f>_xlfn.XLOOKUP(N108,players!A:A,players!D:D,"")</f>
        <v>Bassang Atoulelou</v>
      </c>
      <c r="P108" s="20" cm="1">
        <f t="array" ref="P108">_xlfn.XLOOKUP(I108&amp;N108,rosterSpots!B:B&amp;rosterSpots!D:D,rosterSpots!E:E,"")</f>
        <v>2</v>
      </c>
      <c r="Q108" s="20">
        <f xml:space="preserve"> (playerGameStats!$R108 * 2) + (playerGameStats!$S108 * 3) + (playerGameStats!$T108)</f>
        <v>7</v>
      </c>
      <c r="R108" s="20">
        <v>2</v>
      </c>
      <c r="S108" s="20">
        <v>1</v>
      </c>
      <c r="T108" s="20">
        <v>0</v>
      </c>
      <c r="U108" s="23">
        <v>0</v>
      </c>
    </row>
    <row r="109" spans="1:21" x14ac:dyDescent="0.25">
      <c r="A109" s="14" t="s">
        <v>345</v>
      </c>
      <c r="B109" s="15">
        <v>2026</v>
      </c>
      <c r="C109" s="15" t="s">
        <v>36</v>
      </c>
      <c r="D109" s="15">
        <v>2</v>
      </c>
      <c r="E109" s="16">
        <v>46128</v>
      </c>
      <c r="F109" s="17">
        <v>0.77083333333333337</v>
      </c>
      <c r="G109" s="15" t="s">
        <v>18</v>
      </c>
      <c r="H109" s="15" t="s">
        <v>310</v>
      </c>
      <c r="I109" s="15" t="s">
        <v>299</v>
      </c>
      <c r="J109" s="15" t="s">
        <v>14</v>
      </c>
      <c r="K109" s="15" t="s">
        <v>43</v>
      </c>
      <c r="L109" s="15" t="s">
        <v>11</v>
      </c>
      <c r="M109" s="15" t="s">
        <v>45</v>
      </c>
      <c r="N109" s="15" t="s">
        <v>272</v>
      </c>
      <c r="O109" s="15" t="str">
        <f>_xlfn.XLOOKUP(N109,players!A:A,players!D:D,"")</f>
        <v>Bryce Meredith</v>
      </c>
      <c r="P109" s="15" cm="1">
        <f t="array" ref="P109">_xlfn.XLOOKUP(I109&amp;N109,rosterSpots!B:B&amp;rosterSpots!D:D,rosterSpots!E:E,"")</f>
        <v>3</v>
      </c>
      <c r="Q109" s="15">
        <f xml:space="preserve"> (playerGameStats!$R109 * 2) + (playerGameStats!$S109 * 3) + (playerGameStats!$T109)</f>
        <v>0</v>
      </c>
      <c r="R109" s="15">
        <v>0</v>
      </c>
      <c r="S109" s="15">
        <v>0</v>
      </c>
      <c r="T109" s="15">
        <v>0</v>
      </c>
      <c r="U109" s="18">
        <v>0</v>
      </c>
    </row>
    <row r="110" spans="1:21" x14ac:dyDescent="0.25">
      <c r="A110" s="19" t="s">
        <v>345</v>
      </c>
      <c r="B110" s="20">
        <v>2026</v>
      </c>
      <c r="C110" s="20" t="s">
        <v>36</v>
      </c>
      <c r="D110" s="20">
        <v>2</v>
      </c>
      <c r="E110" s="21">
        <v>46128</v>
      </c>
      <c r="F110" s="22">
        <v>0.77083333333333337</v>
      </c>
      <c r="G110" s="20" t="s">
        <v>18</v>
      </c>
      <c r="H110" s="20" t="s">
        <v>310</v>
      </c>
      <c r="I110" s="20" t="s">
        <v>299</v>
      </c>
      <c r="J110" s="20" t="s">
        <v>14</v>
      </c>
      <c r="K110" s="20" t="s">
        <v>43</v>
      </c>
      <c r="L110" s="20" t="s">
        <v>11</v>
      </c>
      <c r="M110" s="20" t="s">
        <v>45</v>
      </c>
      <c r="N110" s="20" t="s">
        <v>267</v>
      </c>
      <c r="O110" s="20" t="str">
        <f>_xlfn.XLOOKUP(N110,players!A:A,players!D:D,"")</f>
        <v>Keshon Coleman</v>
      </c>
      <c r="P110" s="20" cm="1">
        <f t="array" ref="P110">_xlfn.XLOOKUP(I110&amp;N110,rosterSpots!B:B&amp;rosterSpots!D:D,rosterSpots!E:E,"")</f>
        <v>4</v>
      </c>
      <c r="Q110" s="20">
        <f xml:space="preserve"> (playerGameStats!$R110 * 2) + (playerGameStats!$S110 * 3) + (playerGameStats!$T110)</f>
        <v>3</v>
      </c>
      <c r="R110" s="20">
        <v>0</v>
      </c>
      <c r="S110" s="20">
        <v>1</v>
      </c>
      <c r="T110" s="20">
        <v>0</v>
      </c>
      <c r="U110" s="23">
        <v>0</v>
      </c>
    </row>
    <row r="111" spans="1:21" x14ac:dyDescent="0.25">
      <c r="A111" s="14" t="s">
        <v>345</v>
      </c>
      <c r="B111" s="15">
        <v>2026</v>
      </c>
      <c r="C111" s="15" t="s">
        <v>36</v>
      </c>
      <c r="D111" s="15">
        <v>2</v>
      </c>
      <c r="E111" s="16">
        <v>46128</v>
      </c>
      <c r="F111" s="17">
        <v>0.77083333333333337</v>
      </c>
      <c r="G111" s="15" t="s">
        <v>18</v>
      </c>
      <c r="H111" s="15" t="s">
        <v>310</v>
      </c>
      <c r="I111" s="15" t="s">
        <v>299</v>
      </c>
      <c r="J111" s="15" t="s">
        <v>14</v>
      </c>
      <c r="K111" s="15" t="s">
        <v>43</v>
      </c>
      <c r="L111" s="15" t="s">
        <v>11</v>
      </c>
      <c r="M111" s="15" t="s">
        <v>45</v>
      </c>
      <c r="N111" s="15" t="s">
        <v>264</v>
      </c>
      <c r="O111" s="15" t="str">
        <f>_xlfn.XLOOKUP(N111,players!A:A,players!D:D,"")</f>
        <v/>
      </c>
      <c r="P111" s="15" cm="1">
        <f t="array" ref="P111">_xlfn.XLOOKUP(I111&amp;N111,rosterSpots!B:B&amp;rosterSpots!D:D,rosterSpots!E:E,"")</f>
        <v>6</v>
      </c>
      <c r="Q111" s="15">
        <f xml:space="preserve"> (playerGameStats!$R111 * 2) + (playerGameStats!$S111 * 3) + (playerGameStats!$T111)</f>
        <v>8</v>
      </c>
      <c r="R111" s="15">
        <v>1</v>
      </c>
      <c r="S111" s="15">
        <v>2</v>
      </c>
      <c r="T111" s="15">
        <v>0</v>
      </c>
      <c r="U111" s="18">
        <v>0</v>
      </c>
    </row>
    <row r="112" spans="1:21" x14ac:dyDescent="0.25">
      <c r="A112" s="19" t="s">
        <v>345</v>
      </c>
      <c r="B112" s="20">
        <v>2026</v>
      </c>
      <c r="C112" s="20" t="s">
        <v>36</v>
      </c>
      <c r="D112" s="20">
        <v>2</v>
      </c>
      <c r="E112" s="21">
        <v>46128</v>
      </c>
      <c r="F112" s="22">
        <v>0.77083333333333337</v>
      </c>
      <c r="G112" s="20" t="s">
        <v>18</v>
      </c>
      <c r="H112" s="20" t="s">
        <v>310</v>
      </c>
      <c r="I112" s="20" t="s">
        <v>299</v>
      </c>
      <c r="J112" s="20" t="s">
        <v>14</v>
      </c>
      <c r="K112" s="20" t="s">
        <v>43</v>
      </c>
      <c r="L112" s="20" t="s">
        <v>11</v>
      </c>
      <c r="M112" s="20" t="s">
        <v>45</v>
      </c>
      <c r="N112" s="20" t="s">
        <v>265</v>
      </c>
      <c r="O112" s="20" t="str">
        <f>_xlfn.XLOOKUP(N112,players!A:A,players!D:D,"")</f>
        <v>Ben Golden</v>
      </c>
      <c r="P112" s="20" cm="1">
        <f t="array" ref="P112">_xlfn.XLOOKUP(I112&amp;N112,rosterSpots!B:B&amp;rosterSpots!D:D,rosterSpots!E:E,"")</f>
        <v>8</v>
      </c>
      <c r="Q112" s="20">
        <f xml:space="preserve"> (playerGameStats!$R112 * 2) + (playerGameStats!$S112 * 3) + (playerGameStats!$T112)</f>
        <v>13</v>
      </c>
      <c r="R112" s="20">
        <v>2</v>
      </c>
      <c r="S112" s="20">
        <v>3</v>
      </c>
      <c r="T112" s="20">
        <v>0</v>
      </c>
      <c r="U112" s="23">
        <v>0</v>
      </c>
    </row>
    <row r="113" spans="1:21" x14ac:dyDescent="0.25">
      <c r="A113" s="14" t="s">
        <v>345</v>
      </c>
      <c r="B113" s="15">
        <v>2026</v>
      </c>
      <c r="C113" s="15" t="s">
        <v>36</v>
      </c>
      <c r="D113" s="15">
        <v>2</v>
      </c>
      <c r="E113" s="16">
        <v>46128</v>
      </c>
      <c r="F113" s="17">
        <v>0.77083333333333337</v>
      </c>
      <c r="G113" s="15" t="s">
        <v>18</v>
      </c>
      <c r="H113" s="15" t="s">
        <v>310</v>
      </c>
      <c r="I113" s="15" t="s">
        <v>299</v>
      </c>
      <c r="J113" s="15" t="s">
        <v>14</v>
      </c>
      <c r="K113" s="15" t="s">
        <v>43</v>
      </c>
      <c r="L113" s="15" t="s">
        <v>11</v>
      </c>
      <c r="M113" s="15" t="s">
        <v>45</v>
      </c>
      <c r="N113" s="15" t="s">
        <v>262</v>
      </c>
      <c r="O113" s="15" t="str">
        <f>_xlfn.XLOOKUP(N113,players!A:A,players!D:D,"")</f>
        <v>Connor Thomas</v>
      </c>
      <c r="P113" s="15" cm="1">
        <f t="array" ref="P113">_xlfn.XLOOKUP(I113&amp;N113,rosterSpots!B:B&amp;rosterSpots!D:D,rosterSpots!E:E,"")</f>
        <v>9</v>
      </c>
      <c r="Q113" s="15">
        <f xml:space="preserve"> (playerGameStats!$R113 * 2) + (playerGameStats!$S113 * 3) + (playerGameStats!$T113)</f>
        <v>0</v>
      </c>
      <c r="R113" s="15">
        <v>0</v>
      </c>
      <c r="S113" s="15">
        <v>0</v>
      </c>
      <c r="T113" s="15">
        <v>0</v>
      </c>
      <c r="U113" s="18">
        <v>0</v>
      </c>
    </row>
    <row r="114" spans="1:21" x14ac:dyDescent="0.25">
      <c r="A114" s="19" t="s">
        <v>345</v>
      </c>
      <c r="B114" s="20">
        <v>2026</v>
      </c>
      <c r="C114" s="20" t="s">
        <v>36</v>
      </c>
      <c r="D114" s="20">
        <v>2</v>
      </c>
      <c r="E114" s="21">
        <v>46128</v>
      </c>
      <c r="F114" s="22">
        <v>0.77083333333333337</v>
      </c>
      <c r="G114" s="20" t="s">
        <v>18</v>
      </c>
      <c r="H114" s="20" t="s">
        <v>310</v>
      </c>
      <c r="I114" s="20" t="s">
        <v>299</v>
      </c>
      <c r="J114" s="20" t="s">
        <v>14</v>
      </c>
      <c r="K114" s="20" t="s">
        <v>43</v>
      </c>
      <c r="L114" s="20" t="s">
        <v>11</v>
      </c>
      <c r="M114" s="20" t="s">
        <v>45</v>
      </c>
      <c r="N114" s="20" t="s">
        <v>263</v>
      </c>
      <c r="O114" s="20" t="str">
        <f>_xlfn.XLOOKUP(N114,players!A:A,players!D:D,"")</f>
        <v>Connor Holm</v>
      </c>
      <c r="P114" s="20" cm="1">
        <f t="array" ref="P114">_xlfn.XLOOKUP(I114&amp;N114,rosterSpots!B:B&amp;rosterSpots!D:D,rosterSpots!E:E,"")</f>
        <v>12</v>
      </c>
      <c r="Q114" s="20">
        <f xml:space="preserve"> (playerGameStats!$R114 * 2) + (playerGameStats!$S114 * 3) + (playerGameStats!$T114)</f>
        <v>4</v>
      </c>
      <c r="R114" s="20">
        <v>2</v>
      </c>
      <c r="S114" s="20">
        <v>0</v>
      </c>
      <c r="T114" s="20">
        <v>0</v>
      </c>
      <c r="U114" s="23">
        <v>0</v>
      </c>
    </row>
    <row r="115" spans="1:21" x14ac:dyDescent="0.25">
      <c r="A115" s="14" t="s">
        <v>345</v>
      </c>
      <c r="B115" s="15">
        <v>2026</v>
      </c>
      <c r="C115" s="15" t="s">
        <v>36</v>
      </c>
      <c r="D115" s="15">
        <v>2</v>
      </c>
      <c r="E115" s="16">
        <v>46128</v>
      </c>
      <c r="F115" s="17">
        <v>0.77083333333333337</v>
      </c>
      <c r="G115" s="15" t="s">
        <v>18</v>
      </c>
      <c r="H115" s="15" t="s">
        <v>310</v>
      </c>
      <c r="I115" s="15" t="s">
        <v>299</v>
      </c>
      <c r="J115" s="15" t="s">
        <v>14</v>
      </c>
      <c r="K115" s="15" t="s">
        <v>43</v>
      </c>
      <c r="L115" s="15" t="s">
        <v>11</v>
      </c>
      <c r="M115" s="15" t="s">
        <v>45</v>
      </c>
      <c r="N115" s="15" t="s">
        <v>266</v>
      </c>
      <c r="O115" s="15" t="str">
        <f>_xlfn.XLOOKUP(N115,players!A:A,players!D:D,"")</f>
        <v>Ian McCaw</v>
      </c>
      <c r="P115" s="15" cm="1">
        <f t="array" ref="P115">_xlfn.XLOOKUP(I115&amp;N115,rosterSpots!B:B&amp;rosterSpots!D:D,rosterSpots!E:E,"")</f>
        <v>50</v>
      </c>
      <c r="Q115" s="15">
        <f xml:space="preserve"> (playerGameStats!$R115 * 2) + (playerGameStats!$S115 * 3) + (playerGameStats!$T115)</f>
        <v>6</v>
      </c>
      <c r="R115" s="15">
        <v>3</v>
      </c>
      <c r="S115" s="15">
        <v>0</v>
      </c>
      <c r="T115" s="15">
        <v>0</v>
      </c>
      <c r="U115" s="18">
        <v>0</v>
      </c>
    </row>
    <row r="116" spans="1:21" x14ac:dyDescent="0.25">
      <c r="A116" s="19" t="s">
        <v>345</v>
      </c>
      <c r="B116" s="20">
        <v>2026</v>
      </c>
      <c r="C116" s="20" t="s">
        <v>36</v>
      </c>
      <c r="D116" s="20">
        <v>2</v>
      </c>
      <c r="E116" s="21">
        <v>46128</v>
      </c>
      <c r="F116" s="22">
        <v>0.77083333333333337</v>
      </c>
      <c r="G116" s="20" t="s">
        <v>18</v>
      </c>
      <c r="H116" s="20" t="s">
        <v>310</v>
      </c>
      <c r="I116" s="20" t="s">
        <v>295</v>
      </c>
      <c r="J116" s="20" t="s">
        <v>11</v>
      </c>
      <c r="K116" s="20" t="s">
        <v>45</v>
      </c>
      <c r="L116" s="20" t="s">
        <v>14</v>
      </c>
      <c r="M116" s="20" t="s">
        <v>43</v>
      </c>
      <c r="N116" s="20" t="s">
        <v>230</v>
      </c>
      <c r="O116" s="20" t="str">
        <f>_xlfn.XLOOKUP(N116,players!A:A,players!D:D,"")</f>
        <v>Angel Carrion</v>
      </c>
      <c r="P116" s="20" cm="1">
        <f t="array" ref="P116">_xlfn.XLOOKUP(I116&amp;N116,rosterSpots!B:B&amp;rosterSpots!D:D,rosterSpots!E:E,"")</f>
        <v>7</v>
      </c>
      <c r="Q116" s="20">
        <f xml:space="preserve"> (playerGameStats!$R116 * 2) + (playerGameStats!$S116 * 3) + (playerGameStats!$T116)</f>
        <v>0</v>
      </c>
      <c r="R116" s="20">
        <v>0</v>
      </c>
      <c r="S116" s="20">
        <v>0</v>
      </c>
      <c r="T116" s="20">
        <v>0</v>
      </c>
      <c r="U116" s="23">
        <v>0</v>
      </c>
    </row>
    <row r="117" spans="1:21" x14ac:dyDescent="0.25">
      <c r="A117" s="14" t="s">
        <v>345</v>
      </c>
      <c r="B117" s="15">
        <v>2026</v>
      </c>
      <c r="C117" s="15" t="s">
        <v>36</v>
      </c>
      <c r="D117" s="15">
        <v>2</v>
      </c>
      <c r="E117" s="16">
        <v>46128</v>
      </c>
      <c r="F117" s="17">
        <v>0.77083333333333337</v>
      </c>
      <c r="G117" s="15" t="s">
        <v>18</v>
      </c>
      <c r="H117" s="15" t="s">
        <v>310</v>
      </c>
      <c r="I117" s="15" t="s">
        <v>295</v>
      </c>
      <c r="J117" s="15" t="s">
        <v>11</v>
      </c>
      <c r="K117" s="15" t="s">
        <v>45</v>
      </c>
      <c r="L117" s="15" t="s">
        <v>14</v>
      </c>
      <c r="M117" s="15" t="s">
        <v>43</v>
      </c>
      <c r="N117" s="15" t="s">
        <v>307</v>
      </c>
      <c r="O117" s="15" t="str">
        <f>_xlfn.XLOOKUP(N117,players!A:A,players!D:D,"")</f>
        <v>Thomas Nasto</v>
      </c>
      <c r="P117" s="15" cm="1">
        <f t="array" ref="P117">_xlfn.XLOOKUP(I117&amp;N117,rosterSpots!B:B&amp;rosterSpots!D:D,rosterSpots!E:E,"")</f>
        <v>9</v>
      </c>
      <c r="Q117" s="15">
        <f xml:space="preserve"> (playerGameStats!$R117 * 2) + (playerGameStats!$S117 * 3) + (playerGameStats!$T117)</f>
        <v>6</v>
      </c>
      <c r="R117" s="15">
        <v>2</v>
      </c>
      <c r="S117" s="15">
        <v>0</v>
      </c>
      <c r="T117" s="15">
        <v>2</v>
      </c>
      <c r="U117" s="18">
        <v>3</v>
      </c>
    </row>
    <row r="118" spans="1:21" x14ac:dyDescent="0.25">
      <c r="A118" s="19" t="s">
        <v>345</v>
      </c>
      <c r="B118" s="20">
        <v>2026</v>
      </c>
      <c r="C118" s="20" t="s">
        <v>36</v>
      </c>
      <c r="D118" s="20">
        <v>2</v>
      </c>
      <c r="E118" s="21">
        <v>46128</v>
      </c>
      <c r="F118" s="22">
        <v>0.77083333333333337</v>
      </c>
      <c r="G118" s="20" t="s">
        <v>18</v>
      </c>
      <c r="H118" s="20" t="s">
        <v>310</v>
      </c>
      <c r="I118" s="20" t="s">
        <v>295</v>
      </c>
      <c r="J118" s="20" t="s">
        <v>11</v>
      </c>
      <c r="K118" s="20" t="s">
        <v>45</v>
      </c>
      <c r="L118" s="20" t="s">
        <v>14</v>
      </c>
      <c r="M118" s="20" t="s">
        <v>43</v>
      </c>
      <c r="N118" s="20" t="s">
        <v>233</v>
      </c>
      <c r="O118" s="20" t="str">
        <f>_xlfn.XLOOKUP(N118,players!A:A,players!D:D,"")</f>
        <v>Dylan Meyler</v>
      </c>
      <c r="P118" s="20" cm="1">
        <f t="array" ref="P118">_xlfn.XLOOKUP(I118&amp;N118,rosterSpots!B:B&amp;rosterSpots!D:D,rosterSpots!E:E,"")</f>
        <v>10</v>
      </c>
      <c r="Q118" s="20">
        <f xml:space="preserve"> (playerGameStats!$R118 * 2) + (playerGameStats!$S118 * 3) + (playerGameStats!$T118)</f>
        <v>10</v>
      </c>
      <c r="R118" s="20">
        <v>0</v>
      </c>
      <c r="S118" s="20">
        <v>3</v>
      </c>
      <c r="T118" s="20">
        <v>1</v>
      </c>
      <c r="U118" s="23">
        <v>2</v>
      </c>
    </row>
    <row r="119" spans="1:21" x14ac:dyDescent="0.25">
      <c r="A119" s="14" t="s">
        <v>345</v>
      </c>
      <c r="B119" s="15">
        <v>2026</v>
      </c>
      <c r="C119" s="15" t="s">
        <v>36</v>
      </c>
      <c r="D119" s="15">
        <v>2</v>
      </c>
      <c r="E119" s="16">
        <v>46128</v>
      </c>
      <c r="F119" s="17">
        <v>0.77083333333333337</v>
      </c>
      <c r="G119" s="15" t="s">
        <v>18</v>
      </c>
      <c r="H119" s="15" t="s">
        <v>310</v>
      </c>
      <c r="I119" s="15" t="s">
        <v>295</v>
      </c>
      <c r="J119" s="15" t="s">
        <v>11</v>
      </c>
      <c r="K119" s="15" t="s">
        <v>45</v>
      </c>
      <c r="L119" s="15" t="s">
        <v>14</v>
      </c>
      <c r="M119" s="15" t="s">
        <v>43</v>
      </c>
      <c r="N119" s="15" t="s">
        <v>234</v>
      </c>
      <c r="O119" s="15" t="str">
        <f>_xlfn.XLOOKUP(N119,players!A:A,players!D:D,"")</f>
        <v>Brendan Scott</v>
      </c>
      <c r="P119" s="15" cm="1">
        <f t="array" ref="P119">_xlfn.XLOOKUP(I119&amp;N119,rosterSpots!B:B&amp;rosterSpots!D:D,rosterSpots!E:E,"")</f>
        <v>11</v>
      </c>
      <c r="Q119" s="15">
        <f xml:space="preserve"> (playerGameStats!$R119 * 2) + (playerGameStats!$S119 * 3) + (playerGameStats!$T119)</f>
        <v>16</v>
      </c>
      <c r="R119" s="15">
        <v>2</v>
      </c>
      <c r="S119" s="15">
        <v>4</v>
      </c>
      <c r="T119" s="15">
        <v>0</v>
      </c>
      <c r="U119" s="18">
        <v>0</v>
      </c>
    </row>
    <row r="120" spans="1:21" x14ac:dyDescent="0.25">
      <c r="A120" s="19" t="s">
        <v>345</v>
      </c>
      <c r="B120" s="20">
        <v>2026</v>
      </c>
      <c r="C120" s="20" t="s">
        <v>36</v>
      </c>
      <c r="D120" s="20">
        <v>2</v>
      </c>
      <c r="E120" s="21">
        <v>46128</v>
      </c>
      <c r="F120" s="22">
        <v>0.77083333333333337</v>
      </c>
      <c r="G120" s="20" t="s">
        <v>18</v>
      </c>
      <c r="H120" s="20" t="s">
        <v>310</v>
      </c>
      <c r="I120" s="20" t="s">
        <v>295</v>
      </c>
      <c r="J120" s="20" t="s">
        <v>11</v>
      </c>
      <c r="K120" s="20" t="s">
        <v>45</v>
      </c>
      <c r="L120" s="20" t="s">
        <v>14</v>
      </c>
      <c r="M120" s="20" t="s">
        <v>43</v>
      </c>
      <c r="N120" s="20" t="s">
        <v>231</v>
      </c>
      <c r="O120" s="20" t="str">
        <f>_xlfn.XLOOKUP(N120,players!A:A,players!D:D,"")</f>
        <v>Gates Brooks</v>
      </c>
      <c r="P120" s="20" cm="1">
        <f t="array" ref="P120">_xlfn.XLOOKUP(I120&amp;N120,rosterSpots!B:B&amp;rosterSpots!D:D,rosterSpots!E:E,"")</f>
        <v>43</v>
      </c>
      <c r="Q120" s="20">
        <f xml:space="preserve"> (playerGameStats!$R120 * 2) + (playerGameStats!$S120 * 3) + (playerGameStats!$T120)</f>
        <v>0</v>
      </c>
      <c r="R120" s="20">
        <v>0</v>
      </c>
      <c r="S120" s="20">
        <v>0</v>
      </c>
      <c r="T120" s="20">
        <v>0</v>
      </c>
      <c r="U120" s="23">
        <v>0</v>
      </c>
    </row>
    <row r="121" spans="1:21" x14ac:dyDescent="0.25">
      <c r="A121" s="14" t="s">
        <v>344</v>
      </c>
      <c r="B121" s="15">
        <v>2026</v>
      </c>
      <c r="C121" s="15" t="s">
        <v>36</v>
      </c>
      <c r="D121" s="15">
        <v>2</v>
      </c>
      <c r="E121" s="16">
        <v>46128</v>
      </c>
      <c r="F121" s="17">
        <v>0.8125</v>
      </c>
      <c r="G121" s="15" t="s">
        <v>18</v>
      </c>
      <c r="H121" s="15" t="s">
        <v>310</v>
      </c>
      <c r="I121" s="15" t="s">
        <v>294</v>
      </c>
      <c r="J121" s="15" t="s">
        <v>10</v>
      </c>
      <c r="K121" s="15" t="s">
        <v>42</v>
      </c>
      <c r="L121" s="15" t="s">
        <v>12</v>
      </c>
      <c r="M121" s="15" t="s">
        <v>46</v>
      </c>
      <c r="N121" s="15" t="s">
        <v>216</v>
      </c>
      <c r="O121" s="15" t="str">
        <f>_xlfn.XLOOKUP(N121,players!A:A,players!D:D,"")</f>
        <v>Ryan Ricciardelli</v>
      </c>
      <c r="P121" s="15" cm="1">
        <f t="array" ref="P121">_xlfn.XLOOKUP(I121&amp;N121,rosterSpots!B:B&amp;rosterSpots!D:D,rosterSpots!E:E,"")</f>
        <v>2</v>
      </c>
      <c r="Q121" s="15">
        <f xml:space="preserve"> (playerGameStats!$R121 * 2) + (playerGameStats!$S121 * 3) + (playerGameStats!$T121)</f>
        <v>0</v>
      </c>
      <c r="R121" s="15">
        <v>0</v>
      </c>
      <c r="S121" s="15">
        <v>0</v>
      </c>
      <c r="T121" s="15">
        <v>0</v>
      </c>
      <c r="U121" s="18">
        <v>0</v>
      </c>
    </row>
    <row r="122" spans="1:21" x14ac:dyDescent="0.25">
      <c r="A122" s="19" t="s">
        <v>344</v>
      </c>
      <c r="B122" s="20">
        <v>2026</v>
      </c>
      <c r="C122" s="20" t="s">
        <v>36</v>
      </c>
      <c r="D122" s="20">
        <v>2</v>
      </c>
      <c r="E122" s="21">
        <v>46128</v>
      </c>
      <c r="F122" s="22">
        <v>0.8125</v>
      </c>
      <c r="G122" s="20" t="s">
        <v>18</v>
      </c>
      <c r="H122" s="20" t="s">
        <v>310</v>
      </c>
      <c r="I122" s="20" t="s">
        <v>294</v>
      </c>
      <c r="J122" s="20" t="s">
        <v>10</v>
      </c>
      <c r="K122" s="20" t="s">
        <v>42</v>
      </c>
      <c r="L122" s="20" t="s">
        <v>12</v>
      </c>
      <c r="M122" s="20" t="s">
        <v>46</v>
      </c>
      <c r="N122" s="20" t="s">
        <v>221</v>
      </c>
      <c r="O122" s="20" t="str">
        <f>_xlfn.XLOOKUP(N122,players!A:A,players!D:D,"")</f>
        <v>Dom Sepko</v>
      </c>
      <c r="P122" s="20" cm="1">
        <f t="array" ref="P122">_xlfn.XLOOKUP(I122&amp;N122,rosterSpots!B:B&amp;rosterSpots!D:D,rosterSpots!E:E,"")</f>
        <v>3</v>
      </c>
      <c r="Q122" s="20">
        <f xml:space="preserve"> (playerGameStats!$R122 * 2) + (playerGameStats!$S122 * 3) + (playerGameStats!$T122)</f>
        <v>8</v>
      </c>
      <c r="R122" s="20">
        <v>4</v>
      </c>
      <c r="S122" s="20">
        <v>0</v>
      </c>
      <c r="T122" s="20">
        <v>0</v>
      </c>
      <c r="U122" s="23">
        <v>0</v>
      </c>
    </row>
    <row r="123" spans="1:21" x14ac:dyDescent="0.25">
      <c r="A123" s="14" t="s">
        <v>344</v>
      </c>
      <c r="B123" s="15">
        <v>2026</v>
      </c>
      <c r="C123" s="15" t="s">
        <v>36</v>
      </c>
      <c r="D123" s="15">
        <v>2</v>
      </c>
      <c r="E123" s="16">
        <v>46128</v>
      </c>
      <c r="F123" s="17">
        <v>0.8125</v>
      </c>
      <c r="G123" s="15" t="s">
        <v>18</v>
      </c>
      <c r="H123" s="15" t="s">
        <v>310</v>
      </c>
      <c r="I123" s="15" t="s">
        <v>294</v>
      </c>
      <c r="J123" s="15" t="s">
        <v>10</v>
      </c>
      <c r="K123" s="15" t="s">
        <v>42</v>
      </c>
      <c r="L123" s="15" t="s">
        <v>12</v>
      </c>
      <c r="M123" s="15" t="s">
        <v>46</v>
      </c>
      <c r="N123" s="15" t="s">
        <v>218</v>
      </c>
      <c r="O123" s="15" t="str">
        <f>_xlfn.XLOOKUP(N123,players!A:A,players!D:D,"")</f>
        <v>Guy Johnson</v>
      </c>
      <c r="P123" s="15" cm="1">
        <f t="array" ref="P123">_xlfn.XLOOKUP(I123&amp;N123,rosterSpots!B:B&amp;rosterSpots!D:D,rosterSpots!E:E,"")</f>
        <v>9</v>
      </c>
      <c r="Q123" s="15">
        <f xml:space="preserve"> (playerGameStats!$R123 * 2) + (playerGameStats!$S123 * 3) + (playerGameStats!$T123)</f>
        <v>19</v>
      </c>
      <c r="R123" s="15">
        <v>3</v>
      </c>
      <c r="S123" s="15">
        <v>3</v>
      </c>
      <c r="T123" s="15">
        <v>4</v>
      </c>
      <c r="U123" s="18">
        <v>4</v>
      </c>
    </row>
    <row r="124" spans="1:21" x14ac:dyDescent="0.25">
      <c r="A124" s="19" t="s">
        <v>344</v>
      </c>
      <c r="B124" s="20">
        <v>2026</v>
      </c>
      <c r="C124" s="20" t="s">
        <v>36</v>
      </c>
      <c r="D124" s="20">
        <v>2</v>
      </c>
      <c r="E124" s="21">
        <v>46128</v>
      </c>
      <c r="F124" s="22">
        <v>0.8125</v>
      </c>
      <c r="G124" s="20" t="s">
        <v>18</v>
      </c>
      <c r="H124" s="20" t="s">
        <v>310</v>
      </c>
      <c r="I124" s="20" t="s">
        <v>294</v>
      </c>
      <c r="J124" s="20" t="s">
        <v>10</v>
      </c>
      <c r="K124" s="20" t="s">
        <v>42</v>
      </c>
      <c r="L124" s="20" t="s">
        <v>12</v>
      </c>
      <c r="M124" s="20" t="s">
        <v>46</v>
      </c>
      <c r="N124" s="20" t="s">
        <v>222</v>
      </c>
      <c r="O124" s="20" t="str">
        <f>_xlfn.XLOOKUP(N124,players!A:A,players!D:D,"")</f>
        <v>Matt Morini</v>
      </c>
      <c r="P124" s="20" cm="1">
        <f t="array" ref="P124">_xlfn.XLOOKUP(I124&amp;N124,rosterSpots!B:B&amp;rosterSpots!D:D,rosterSpots!E:E,"")</f>
        <v>11</v>
      </c>
      <c r="Q124" s="20">
        <f xml:space="preserve"> (playerGameStats!$R124 * 2) + (playerGameStats!$S124 * 3) + (playerGameStats!$T124)</f>
        <v>7</v>
      </c>
      <c r="R124" s="20">
        <v>1</v>
      </c>
      <c r="S124" s="20">
        <v>1</v>
      </c>
      <c r="T124" s="20">
        <v>2</v>
      </c>
      <c r="U124" s="23">
        <v>2</v>
      </c>
    </row>
    <row r="125" spans="1:21" x14ac:dyDescent="0.25">
      <c r="A125" s="14" t="s">
        <v>344</v>
      </c>
      <c r="B125" s="15">
        <v>2026</v>
      </c>
      <c r="C125" s="15" t="s">
        <v>36</v>
      </c>
      <c r="D125" s="15">
        <v>2</v>
      </c>
      <c r="E125" s="16">
        <v>46128</v>
      </c>
      <c r="F125" s="17">
        <v>0.8125</v>
      </c>
      <c r="G125" s="15" t="s">
        <v>18</v>
      </c>
      <c r="H125" s="15" t="s">
        <v>310</v>
      </c>
      <c r="I125" s="15" t="s">
        <v>294</v>
      </c>
      <c r="J125" s="15" t="s">
        <v>10</v>
      </c>
      <c r="K125" s="15" t="s">
        <v>42</v>
      </c>
      <c r="L125" s="15" t="s">
        <v>12</v>
      </c>
      <c r="M125" s="15" t="s">
        <v>46</v>
      </c>
      <c r="N125" s="15" t="s">
        <v>223</v>
      </c>
      <c r="O125" s="15" t="str">
        <f>_xlfn.XLOOKUP(N125,players!A:A,players!D:D,"")</f>
        <v>Clayton Kunzweiler</v>
      </c>
      <c r="P125" s="15" cm="1">
        <f t="array" ref="P125">_xlfn.XLOOKUP(I125&amp;N125,rosterSpots!B:B&amp;rosterSpots!D:D,rosterSpots!E:E,"")</f>
        <v>13</v>
      </c>
      <c r="Q125" s="15">
        <f xml:space="preserve"> (playerGameStats!$R125 * 2) + (playerGameStats!$S125 * 3) + (playerGameStats!$T125)</f>
        <v>2</v>
      </c>
      <c r="R125" s="15">
        <v>1</v>
      </c>
      <c r="S125" s="15">
        <v>0</v>
      </c>
      <c r="T125" s="15">
        <v>0</v>
      </c>
      <c r="U125" s="18">
        <v>0</v>
      </c>
    </row>
    <row r="126" spans="1:21" x14ac:dyDescent="0.25">
      <c r="A126" s="19" t="s">
        <v>344</v>
      </c>
      <c r="B126" s="20">
        <v>2026</v>
      </c>
      <c r="C126" s="20" t="s">
        <v>36</v>
      </c>
      <c r="D126" s="20">
        <v>2</v>
      </c>
      <c r="E126" s="21">
        <v>46128</v>
      </c>
      <c r="F126" s="22">
        <v>0.8125</v>
      </c>
      <c r="G126" s="20" t="s">
        <v>18</v>
      </c>
      <c r="H126" s="20" t="s">
        <v>310</v>
      </c>
      <c r="I126" s="20" t="s">
        <v>294</v>
      </c>
      <c r="J126" s="20" t="s">
        <v>10</v>
      </c>
      <c r="K126" s="20" t="s">
        <v>42</v>
      </c>
      <c r="L126" s="20" t="s">
        <v>12</v>
      </c>
      <c r="M126" s="20" t="s">
        <v>46</v>
      </c>
      <c r="N126" s="20" t="s">
        <v>215</v>
      </c>
      <c r="O126" s="20" t="str">
        <f>_xlfn.XLOOKUP(N126,players!A:A,players!D:D,"")</f>
        <v>Ryan Fontanazza</v>
      </c>
      <c r="P126" s="20" cm="1">
        <f t="array" ref="P126">_xlfn.XLOOKUP(I126&amp;N126,rosterSpots!B:B&amp;rosterSpots!D:D,rosterSpots!E:E,"")</f>
        <v>22</v>
      </c>
      <c r="Q126" s="20">
        <f xml:space="preserve"> (playerGameStats!$R126 * 2) + (playerGameStats!$S126 * 3) + (playerGameStats!$T126)</f>
        <v>9</v>
      </c>
      <c r="R126" s="20">
        <v>2</v>
      </c>
      <c r="S126" s="20">
        <v>1</v>
      </c>
      <c r="T126" s="20">
        <v>2</v>
      </c>
      <c r="U126" s="23">
        <v>4</v>
      </c>
    </row>
    <row r="127" spans="1:21" x14ac:dyDescent="0.25">
      <c r="A127" s="14" t="s">
        <v>344</v>
      </c>
      <c r="B127" s="15">
        <v>2026</v>
      </c>
      <c r="C127" s="15" t="s">
        <v>36</v>
      </c>
      <c r="D127" s="15">
        <v>2</v>
      </c>
      <c r="E127" s="16">
        <v>46128</v>
      </c>
      <c r="F127" s="17">
        <v>0.8125</v>
      </c>
      <c r="G127" s="15" t="s">
        <v>18</v>
      </c>
      <c r="H127" s="15" t="s">
        <v>310</v>
      </c>
      <c r="I127" s="15" t="s">
        <v>294</v>
      </c>
      <c r="J127" s="15" t="s">
        <v>10</v>
      </c>
      <c r="K127" s="15" t="s">
        <v>42</v>
      </c>
      <c r="L127" s="15" t="s">
        <v>12</v>
      </c>
      <c r="M127" s="15" t="s">
        <v>46</v>
      </c>
      <c r="N127" s="15" t="s">
        <v>217</v>
      </c>
      <c r="O127" s="15" t="str">
        <f>_xlfn.XLOOKUP(N127,players!A:A,players!D:D,"")</f>
        <v>Sean Denson</v>
      </c>
      <c r="P127" s="15" cm="1">
        <f t="array" ref="P127">_xlfn.XLOOKUP(I127&amp;N127,rosterSpots!B:B&amp;rosterSpots!D:D,rosterSpots!E:E,"")</f>
        <v>33</v>
      </c>
      <c r="Q127" s="15">
        <f xml:space="preserve"> (playerGameStats!$R127 * 2) + (playerGameStats!$S127 * 3) + (playerGameStats!$T127)</f>
        <v>0</v>
      </c>
      <c r="R127" s="15">
        <v>0</v>
      </c>
      <c r="S127" s="15">
        <v>0</v>
      </c>
      <c r="T127" s="15">
        <v>0</v>
      </c>
      <c r="U127" s="18">
        <v>0</v>
      </c>
    </row>
    <row r="128" spans="1:21" x14ac:dyDescent="0.25">
      <c r="A128" s="19" t="s">
        <v>344</v>
      </c>
      <c r="B128" s="20">
        <v>2026</v>
      </c>
      <c r="C128" s="20" t="s">
        <v>36</v>
      </c>
      <c r="D128" s="20">
        <v>2</v>
      </c>
      <c r="E128" s="21">
        <v>46128</v>
      </c>
      <c r="F128" s="22">
        <v>0.8125</v>
      </c>
      <c r="G128" s="20" t="s">
        <v>18</v>
      </c>
      <c r="H128" s="20" t="s">
        <v>310</v>
      </c>
      <c r="I128" s="20" t="s">
        <v>298</v>
      </c>
      <c r="J128" s="20" t="s">
        <v>12</v>
      </c>
      <c r="K128" s="20" t="s">
        <v>46</v>
      </c>
      <c r="L128" s="20" t="s">
        <v>10</v>
      </c>
      <c r="M128" s="20" t="s">
        <v>42</v>
      </c>
      <c r="N128" s="20" t="s">
        <v>260</v>
      </c>
      <c r="O128" s="20" t="str">
        <f>_xlfn.XLOOKUP(N128,players!A:A,players!D:D,"")</f>
        <v>Manthan Tailor</v>
      </c>
      <c r="P128" s="20" cm="1">
        <f t="array" ref="P128">_xlfn.XLOOKUP(I128&amp;N128,rosterSpots!B:B&amp;rosterSpots!D:D,rosterSpots!E:E,"")</f>
        <v>2</v>
      </c>
      <c r="Q128" s="20">
        <f xml:space="preserve"> (playerGameStats!$R128 * 2) + (playerGameStats!$S128 * 3) + (playerGameStats!$T128)</f>
        <v>7</v>
      </c>
      <c r="R128" s="20">
        <v>2</v>
      </c>
      <c r="S128" s="20">
        <v>1</v>
      </c>
      <c r="T128" s="20">
        <v>0</v>
      </c>
      <c r="U128" s="23">
        <v>0</v>
      </c>
    </row>
    <row r="129" spans="1:21" x14ac:dyDescent="0.25">
      <c r="A129" s="14" t="s">
        <v>344</v>
      </c>
      <c r="B129" s="15">
        <v>2026</v>
      </c>
      <c r="C129" s="15" t="s">
        <v>36</v>
      </c>
      <c r="D129" s="15">
        <v>2</v>
      </c>
      <c r="E129" s="16">
        <v>46128</v>
      </c>
      <c r="F129" s="17">
        <v>0.8125</v>
      </c>
      <c r="G129" s="15" t="s">
        <v>18</v>
      </c>
      <c r="H129" s="15" t="s">
        <v>310</v>
      </c>
      <c r="I129" s="15" t="s">
        <v>298</v>
      </c>
      <c r="J129" s="15" t="s">
        <v>12</v>
      </c>
      <c r="K129" s="15" t="s">
        <v>46</v>
      </c>
      <c r="L129" s="15" t="s">
        <v>10</v>
      </c>
      <c r="M129" s="15" t="s">
        <v>42</v>
      </c>
      <c r="N129" s="15" t="s">
        <v>253</v>
      </c>
      <c r="O129" s="15" t="str">
        <f>_xlfn.XLOOKUP(N129,players!A:A,players!D:D,"")</f>
        <v>Doug Adams</v>
      </c>
      <c r="P129" s="15" cm="1">
        <f t="array" ref="P129">_xlfn.XLOOKUP(I129&amp;N129,rosterSpots!B:B&amp;rosterSpots!D:D,rosterSpots!E:E,"")</f>
        <v>3</v>
      </c>
      <c r="Q129" s="15">
        <f xml:space="preserve"> (playerGameStats!$R129 * 2) + (playerGameStats!$S129 * 3) + (playerGameStats!$T129)</f>
        <v>20</v>
      </c>
      <c r="R129" s="15">
        <v>4</v>
      </c>
      <c r="S129" s="15">
        <v>3</v>
      </c>
      <c r="T129" s="15">
        <v>3</v>
      </c>
      <c r="U129" s="18">
        <v>5</v>
      </c>
    </row>
    <row r="130" spans="1:21" x14ac:dyDescent="0.25">
      <c r="A130" s="19" t="s">
        <v>344</v>
      </c>
      <c r="B130" s="20">
        <v>2026</v>
      </c>
      <c r="C130" s="20" t="s">
        <v>36</v>
      </c>
      <c r="D130" s="20">
        <v>2</v>
      </c>
      <c r="E130" s="21">
        <v>46128</v>
      </c>
      <c r="F130" s="22">
        <v>0.8125</v>
      </c>
      <c r="G130" s="20" t="s">
        <v>18</v>
      </c>
      <c r="H130" s="20" t="s">
        <v>310</v>
      </c>
      <c r="I130" s="20" t="s">
        <v>298</v>
      </c>
      <c r="J130" s="20" t="s">
        <v>12</v>
      </c>
      <c r="K130" s="20" t="s">
        <v>46</v>
      </c>
      <c r="L130" s="20" t="s">
        <v>10</v>
      </c>
      <c r="M130" s="20" t="s">
        <v>42</v>
      </c>
      <c r="N130" s="20" t="s">
        <v>257</v>
      </c>
      <c r="O130" s="20" t="str">
        <f>_xlfn.XLOOKUP(N130,players!A:A,players!D:D,"")</f>
        <v>Janos Vajda</v>
      </c>
      <c r="P130" s="20" cm="1">
        <f t="array" ref="P130">_xlfn.XLOOKUP(I130&amp;N130,rosterSpots!B:B&amp;rosterSpots!D:D,rosterSpots!E:E,"")</f>
        <v>5</v>
      </c>
      <c r="Q130" s="20">
        <f xml:space="preserve"> (playerGameStats!$R130 * 2) + (playerGameStats!$S130 * 3) + (playerGameStats!$T130)</f>
        <v>0</v>
      </c>
      <c r="R130" s="20">
        <v>0</v>
      </c>
      <c r="S130" s="20">
        <v>0</v>
      </c>
      <c r="T130" s="20">
        <v>0</v>
      </c>
      <c r="U130" s="23">
        <v>0</v>
      </c>
    </row>
    <row r="131" spans="1:21" x14ac:dyDescent="0.25">
      <c r="A131" s="14" t="s">
        <v>344</v>
      </c>
      <c r="B131" s="15">
        <v>2026</v>
      </c>
      <c r="C131" s="15" t="s">
        <v>36</v>
      </c>
      <c r="D131" s="15">
        <v>2</v>
      </c>
      <c r="E131" s="16">
        <v>46128</v>
      </c>
      <c r="F131" s="17">
        <v>0.8125</v>
      </c>
      <c r="G131" s="15" t="s">
        <v>18</v>
      </c>
      <c r="H131" s="15" t="s">
        <v>310</v>
      </c>
      <c r="I131" s="15" t="s">
        <v>298</v>
      </c>
      <c r="J131" s="15" t="s">
        <v>12</v>
      </c>
      <c r="K131" s="15" t="s">
        <v>46</v>
      </c>
      <c r="L131" s="15" t="s">
        <v>10</v>
      </c>
      <c r="M131" s="15" t="s">
        <v>42</v>
      </c>
      <c r="N131" s="15" t="s">
        <v>258</v>
      </c>
      <c r="O131" s="15" t="str">
        <f>_xlfn.XLOOKUP(N131,players!A:A,players!D:D,"")</f>
        <v>Brett Ziller</v>
      </c>
      <c r="P131" s="15" cm="1">
        <f t="array" ref="P131">_xlfn.XLOOKUP(I131&amp;N131,rosterSpots!B:B&amp;rosterSpots!D:D,rosterSpots!E:E,"")</f>
        <v>8</v>
      </c>
      <c r="Q131" s="15">
        <f xml:space="preserve"> (playerGameStats!$R131 * 2) + (playerGameStats!$S131 * 3) + (playerGameStats!$T131)</f>
        <v>9</v>
      </c>
      <c r="R131" s="15">
        <v>3</v>
      </c>
      <c r="S131" s="15">
        <v>0</v>
      </c>
      <c r="T131" s="15">
        <v>3</v>
      </c>
      <c r="U131" s="18">
        <v>6</v>
      </c>
    </row>
    <row r="132" spans="1:21" x14ac:dyDescent="0.25">
      <c r="A132" s="19" t="s">
        <v>344</v>
      </c>
      <c r="B132" s="20">
        <v>2026</v>
      </c>
      <c r="C132" s="20" t="s">
        <v>36</v>
      </c>
      <c r="D132" s="20">
        <v>2</v>
      </c>
      <c r="E132" s="21">
        <v>46128</v>
      </c>
      <c r="F132" s="22">
        <v>0.8125</v>
      </c>
      <c r="G132" s="20" t="s">
        <v>18</v>
      </c>
      <c r="H132" s="20" t="s">
        <v>310</v>
      </c>
      <c r="I132" s="20" t="s">
        <v>298</v>
      </c>
      <c r="J132" s="20" t="s">
        <v>12</v>
      </c>
      <c r="K132" s="20" t="s">
        <v>46</v>
      </c>
      <c r="L132" s="20" t="s">
        <v>10</v>
      </c>
      <c r="M132" s="20" t="s">
        <v>42</v>
      </c>
      <c r="N132" s="20" t="s">
        <v>254</v>
      </c>
      <c r="O132" s="20" t="str">
        <f>_xlfn.XLOOKUP(N132,players!A:A,players!D:D,"")</f>
        <v>Kelechi Madu</v>
      </c>
      <c r="P132" s="20" cm="1">
        <f t="array" ref="P132">_xlfn.XLOOKUP(I132&amp;N132,rosterSpots!B:B&amp;rosterSpots!D:D,rosterSpots!E:E,"")</f>
        <v>13</v>
      </c>
      <c r="Q132" s="20">
        <f xml:space="preserve"> (playerGameStats!$R132 * 2) + (playerGameStats!$S132 * 3) + (playerGameStats!$T132)</f>
        <v>0</v>
      </c>
      <c r="R132" s="20">
        <v>0</v>
      </c>
      <c r="S132" s="20">
        <v>0</v>
      </c>
      <c r="T132" s="20">
        <v>0</v>
      </c>
      <c r="U132" s="23">
        <v>0</v>
      </c>
    </row>
    <row r="133" spans="1:21" x14ac:dyDescent="0.25">
      <c r="A133" s="14" t="s">
        <v>344</v>
      </c>
      <c r="B133" s="15">
        <v>2026</v>
      </c>
      <c r="C133" s="15" t="s">
        <v>36</v>
      </c>
      <c r="D133" s="15">
        <v>2</v>
      </c>
      <c r="E133" s="16">
        <v>46128</v>
      </c>
      <c r="F133" s="17">
        <v>0.8125</v>
      </c>
      <c r="G133" s="15" t="s">
        <v>18</v>
      </c>
      <c r="H133" s="15" t="s">
        <v>310</v>
      </c>
      <c r="I133" s="15" t="s">
        <v>298</v>
      </c>
      <c r="J133" s="15" t="s">
        <v>12</v>
      </c>
      <c r="K133" s="15" t="s">
        <v>46</v>
      </c>
      <c r="L133" s="15" t="s">
        <v>10</v>
      </c>
      <c r="M133" s="15" t="s">
        <v>42</v>
      </c>
      <c r="N133" s="15" t="s">
        <v>255</v>
      </c>
      <c r="O133" s="15" t="str">
        <f>_xlfn.XLOOKUP(N133,players!A:A,players!D:D,"")</f>
        <v>Connor Stine</v>
      </c>
      <c r="P133" s="15" cm="1">
        <f t="array" ref="P133">_xlfn.XLOOKUP(I133&amp;N133,rosterSpots!B:B&amp;rosterSpots!D:D,rosterSpots!E:E,"")</f>
        <v>14</v>
      </c>
      <c r="Q133" s="15">
        <f xml:space="preserve"> (playerGameStats!$R133 * 2) + (playerGameStats!$S133 * 3) + (playerGameStats!$T133)</f>
        <v>8</v>
      </c>
      <c r="R133" s="15">
        <v>4</v>
      </c>
      <c r="S133" s="15">
        <v>0</v>
      </c>
      <c r="T133" s="15">
        <v>0</v>
      </c>
      <c r="U133" s="18">
        <v>0</v>
      </c>
    </row>
    <row r="134" spans="1:21" x14ac:dyDescent="0.25">
      <c r="A134" s="19" t="s">
        <v>344</v>
      </c>
      <c r="B134" s="20">
        <v>2026</v>
      </c>
      <c r="C134" s="20" t="s">
        <v>36</v>
      </c>
      <c r="D134" s="20">
        <v>2</v>
      </c>
      <c r="E134" s="21">
        <v>46128</v>
      </c>
      <c r="F134" s="22">
        <v>0.8125</v>
      </c>
      <c r="G134" s="20" t="s">
        <v>18</v>
      </c>
      <c r="H134" s="20" t="s">
        <v>310</v>
      </c>
      <c r="I134" s="20" t="s">
        <v>298</v>
      </c>
      <c r="J134" s="20" t="s">
        <v>12</v>
      </c>
      <c r="K134" s="20" t="s">
        <v>46</v>
      </c>
      <c r="L134" s="20" t="s">
        <v>10</v>
      </c>
      <c r="M134" s="20" t="s">
        <v>42</v>
      </c>
      <c r="N134" s="20" t="s">
        <v>256</v>
      </c>
      <c r="O134" s="20" t="str">
        <f>_xlfn.XLOOKUP(N134,players!A:A,players!D:D,"")</f>
        <v>Sragvi Tirumala</v>
      </c>
      <c r="P134" s="20" cm="1">
        <f t="array" ref="P134">_xlfn.XLOOKUP(I134&amp;N134,rosterSpots!B:B&amp;rosterSpots!D:D,rosterSpots!E:E,"")</f>
        <v>17</v>
      </c>
      <c r="Q134" s="20">
        <f xml:space="preserve"> (playerGameStats!$R134 * 2) + (playerGameStats!$S134 * 3) + (playerGameStats!$T134)</f>
        <v>2</v>
      </c>
      <c r="R134" s="20">
        <v>1</v>
      </c>
      <c r="S134" s="20">
        <v>0</v>
      </c>
      <c r="T134" s="20">
        <v>0</v>
      </c>
      <c r="U134" s="23">
        <v>0</v>
      </c>
    </row>
    <row r="135" spans="1:21" x14ac:dyDescent="0.25">
      <c r="A135" s="14" t="s">
        <v>344</v>
      </c>
      <c r="B135" s="15">
        <v>2026</v>
      </c>
      <c r="C135" s="15" t="s">
        <v>36</v>
      </c>
      <c r="D135" s="15">
        <v>2</v>
      </c>
      <c r="E135" s="16">
        <v>46128</v>
      </c>
      <c r="F135" s="17">
        <v>0.8125</v>
      </c>
      <c r="G135" s="15" t="s">
        <v>18</v>
      </c>
      <c r="H135" s="15" t="s">
        <v>310</v>
      </c>
      <c r="I135" s="15" t="s">
        <v>298</v>
      </c>
      <c r="J135" s="15" t="s">
        <v>12</v>
      </c>
      <c r="K135" s="15" t="s">
        <v>46</v>
      </c>
      <c r="L135" s="15" t="s">
        <v>10</v>
      </c>
      <c r="M135" s="15" t="s">
        <v>42</v>
      </c>
      <c r="N135" s="15" t="s">
        <v>259</v>
      </c>
      <c r="O135" s="15" t="str">
        <f>_xlfn.XLOOKUP(N135,players!A:A,players!D:D,"")</f>
        <v>Allen Harley</v>
      </c>
      <c r="P135" s="15" cm="1">
        <f t="array" ref="P135">_xlfn.XLOOKUP(I135&amp;N135,rosterSpots!B:B&amp;rosterSpots!D:D,rosterSpots!E:E,"")</f>
        <v>21</v>
      </c>
      <c r="Q135" s="15">
        <f xml:space="preserve"> (playerGameStats!$R135 * 2) + (playerGameStats!$S135 * 3) + (playerGameStats!$T135)</f>
        <v>7</v>
      </c>
      <c r="R135" s="15">
        <v>3</v>
      </c>
      <c r="S135" s="15">
        <v>0</v>
      </c>
      <c r="T135" s="15">
        <v>1</v>
      </c>
      <c r="U135" s="18">
        <v>2</v>
      </c>
    </row>
    <row r="136" spans="1:21" x14ac:dyDescent="0.25">
      <c r="A136" s="19" t="s">
        <v>344</v>
      </c>
      <c r="B136" s="20">
        <v>2026</v>
      </c>
      <c r="C136" s="20" t="s">
        <v>36</v>
      </c>
      <c r="D136" s="20">
        <v>2</v>
      </c>
      <c r="E136" s="21">
        <v>46128</v>
      </c>
      <c r="F136" s="22">
        <v>0.8125</v>
      </c>
      <c r="G136" s="20" t="s">
        <v>18</v>
      </c>
      <c r="H136" s="20" t="s">
        <v>310</v>
      </c>
      <c r="I136" s="20" t="s">
        <v>298</v>
      </c>
      <c r="J136" s="20" t="s">
        <v>12</v>
      </c>
      <c r="K136" s="20" t="s">
        <v>46</v>
      </c>
      <c r="L136" s="20" t="s">
        <v>10</v>
      </c>
      <c r="M136" s="20" t="s">
        <v>42</v>
      </c>
      <c r="N136" s="20" t="s">
        <v>261</v>
      </c>
      <c r="O136" s="20" t="str">
        <f>_xlfn.XLOOKUP(N136,players!A:A,players!D:D,"")</f>
        <v>Ricky Riaz</v>
      </c>
      <c r="P136" s="20" cm="1">
        <f t="array" ref="P136">_xlfn.XLOOKUP(I136&amp;N136,rosterSpots!B:B&amp;rosterSpots!D:D,rosterSpots!E:E,"")</f>
        <v>30</v>
      </c>
      <c r="Q136" s="20">
        <f xml:space="preserve"> (playerGameStats!$R136 * 2) + (playerGameStats!$S136 * 3) + (playerGameStats!$T136)</f>
        <v>0</v>
      </c>
      <c r="R136" s="20">
        <v>0</v>
      </c>
      <c r="S136" s="20">
        <v>0</v>
      </c>
      <c r="T136" s="20">
        <v>0</v>
      </c>
      <c r="U136" s="23">
        <v>0</v>
      </c>
    </row>
    <row r="137" spans="1:21" x14ac:dyDescent="0.25">
      <c r="A137" s="14" t="s">
        <v>343</v>
      </c>
      <c r="B137" s="15">
        <v>2026</v>
      </c>
      <c r="C137" s="15" t="s">
        <v>36</v>
      </c>
      <c r="D137" s="15">
        <v>2</v>
      </c>
      <c r="E137" s="16">
        <v>46128</v>
      </c>
      <c r="F137" s="17">
        <v>0.85416666666666663</v>
      </c>
      <c r="G137" s="15" t="s">
        <v>18</v>
      </c>
      <c r="H137" s="15" t="s">
        <v>310</v>
      </c>
      <c r="I137" s="15" t="s">
        <v>296</v>
      </c>
      <c r="J137" s="15" t="s">
        <v>15</v>
      </c>
      <c r="K137" s="15" t="s">
        <v>48</v>
      </c>
      <c r="L137" s="15" t="s">
        <v>13</v>
      </c>
      <c r="M137" s="15" t="s">
        <v>47</v>
      </c>
      <c r="N137" s="15" t="s">
        <v>235</v>
      </c>
      <c r="O137" s="15" t="str">
        <f>_xlfn.XLOOKUP(N137,players!A:A,players!D:D,"")</f>
        <v>Kyle Ginter</v>
      </c>
      <c r="P137" s="15" cm="1">
        <f t="array" ref="P137">_xlfn.XLOOKUP(I137&amp;N137,rosterSpots!B:B&amp;rosterSpots!D:D,rosterSpots!E:E,"")</f>
        <v>7</v>
      </c>
      <c r="Q137" s="15">
        <f xml:space="preserve"> (playerGameStats!$R137 * 2) + (playerGameStats!$S137 * 3) + (playerGameStats!$T137)</f>
        <v>8</v>
      </c>
      <c r="R137" s="15">
        <v>1</v>
      </c>
      <c r="S137" s="15">
        <v>2</v>
      </c>
      <c r="T137" s="15">
        <v>0</v>
      </c>
      <c r="U137" s="18">
        <v>0</v>
      </c>
    </row>
    <row r="138" spans="1:21" x14ac:dyDescent="0.25">
      <c r="A138" s="19" t="s">
        <v>343</v>
      </c>
      <c r="B138" s="20">
        <v>2026</v>
      </c>
      <c r="C138" s="20" t="s">
        <v>36</v>
      </c>
      <c r="D138" s="20">
        <v>2</v>
      </c>
      <c r="E138" s="21">
        <v>46128</v>
      </c>
      <c r="F138" s="22">
        <v>0.85416666666666663</v>
      </c>
      <c r="G138" s="20" t="s">
        <v>18</v>
      </c>
      <c r="H138" s="20" t="s">
        <v>310</v>
      </c>
      <c r="I138" s="20" t="s">
        <v>296</v>
      </c>
      <c r="J138" s="20" t="s">
        <v>15</v>
      </c>
      <c r="K138" s="20" t="s">
        <v>48</v>
      </c>
      <c r="L138" s="20" t="s">
        <v>13</v>
      </c>
      <c r="M138" s="20" t="s">
        <v>47</v>
      </c>
      <c r="N138" s="20" t="s">
        <v>243</v>
      </c>
      <c r="O138" s="20" t="str">
        <f>_xlfn.XLOOKUP(N138,players!A:A,players!D:D,"")</f>
        <v>Donald Owens</v>
      </c>
      <c r="P138" s="20" cm="1">
        <f t="array" ref="P138">_xlfn.XLOOKUP(I138&amp;N138,rosterSpots!B:B&amp;rosterSpots!D:D,rosterSpots!E:E,"")</f>
        <v>11</v>
      </c>
      <c r="Q138" s="20">
        <f xml:space="preserve"> (playerGameStats!$R138 * 2) + (playerGameStats!$S138 * 3) + (playerGameStats!$T138)</f>
        <v>2</v>
      </c>
      <c r="R138" s="20">
        <v>1</v>
      </c>
      <c r="S138" s="20">
        <v>0</v>
      </c>
      <c r="T138" s="20">
        <v>0</v>
      </c>
      <c r="U138" s="23">
        <v>0</v>
      </c>
    </row>
    <row r="139" spans="1:21" x14ac:dyDescent="0.25">
      <c r="A139" s="14" t="s">
        <v>343</v>
      </c>
      <c r="B139" s="15">
        <v>2026</v>
      </c>
      <c r="C139" s="15" t="s">
        <v>36</v>
      </c>
      <c r="D139" s="15">
        <v>2</v>
      </c>
      <c r="E139" s="16">
        <v>46128</v>
      </c>
      <c r="F139" s="17">
        <v>0.85416666666666663</v>
      </c>
      <c r="G139" s="15" t="s">
        <v>18</v>
      </c>
      <c r="H139" s="15" t="s">
        <v>310</v>
      </c>
      <c r="I139" s="15" t="s">
        <v>296</v>
      </c>
      <c r="J139" s="15" t="s">
        <v>15</v>
      </c>
      <c r="K139" s="15" t="s">
        <v>48</v>
      </c>
      <c r="L139" s="15" t="s">
        <v>13</v>
      </c>
      <c r="M139" s="15" t="s">
        <v>47</v>
      </c>
      <c r="N139" s="15" t="s">
        <v>241</v>
      </c>
      <c r="O139" s="15" t="str">
        <f>_xlfn.XLOOKUP(N139,players!A:A,players!D:D,"")</f>
        <v>Brian Clemens</v>
      </c>
      <c r="P139" s="15" cm="1">
        <f t="array" ref="P139">_xlfn.XLOOKUP(I139&amp;N139,rosterSpots!B:B&amp;rosterSpots!D:D,rosterSpots!E:E,"")</f>
        <v>17</v>
      </c>
      <c r="Q139" s="15">
        <f xml:space="preserve"> (playerGameStats!$R139 * 2) + (playerGameStats!$S139 * 3) + (playerGameStats!$T139)</f>
        <v>3</v>
      </c>
      <c r="R139" s="15">
        <v>0</v>
      </c>
      <c r="S139" s="15">
        <v>1</v>
      </c>
      <c r="T139" s="15">
        <v>0</v>
      </c>
      <c r="U139" s="18">
        <v>0</v>
      </c>
    </row>
    <row r="140" spans="1:21" x14ac:dyDescent="0.25">
      <c r="A140" s="19" t="s">
        <v>343</v>
      </c>
      <c r="B140" s="20">
        <v>2026</v>
      </c>
      <c r="C140" s="20" t="s">
        <v>36</v>
      </c>
      <c r="D140" s="20">
        <v>2</v>
      </c>
      <c r="E140" s="21">
        <v>46128</v>
      </c>
      <c r="F140" s="22">
        <v>0.85416666666666663</v>
      </c>
      <c r="G140" s="20" t="s">
        <v>18</v>
      </c>
      <c r="H140" s="20" t="s">
        <v>310</v>
      </c>
      <c r="I140" s="20" t="s">
        <v>296</v>
      </c>
      <c r="J140" s="20" t="s">
        <v>15</v>
      </c>
      <c r="K140" s="20" t="s">
        <v>48</v>
      </c>
      <c r="L140" s="20" t="s">
        <v>13</v>
      </c>
      <c r="M140" s="20" t="s">
        <v>47</v>
      </c>
      <c r="N140" s="20" t="s">
        <v>242</v>
      </c>
      <c r="O140" s="20" t="str">
        <f>_xlfn.XLOOKUP(N140,players!A:A,players!D:D,"")</f>
        <v>Jordan Wilcox</v>
      </c>
      <c r="P140" s="20" cm="1">
        <f t="array" ref="P140">_xlfn.XLOOKUP(I140&amp;N140,rosterSpots!B:B&amp;rosterSpots!D:D,rosterSpots!E:E,"")</f>
        <v>24</v>
      </c>
      <c r="Q140" s="20">
        <f xml:space="preserve"> (playerGameStats!$R140 * 2) + (playerGameStats!$S140 * 3) + (playerGameStats!$T140)</f>
        <v>19</v>
      </c>
      <c r="R140" s="20">
        <v>8</v>
      </c>
      <c r="S140" s="20">
        <v>0</v>
      </c>
      <c r="T140" s="20">
        <v>3</v>
      </c>
      <c r="U140" s="23">
        <v>7</v>
      </c>
    </row>
    <row r="141" spans="1:21" x14ac:dyDescent="0.25">
      <c r="A141" s="14" t="s">
        <v>343</v>
      </c>
      <c r="B141" s="15">
        <v>2026</v>
      </c>
      <c r="C141" s="15" t="s">
        <v>36</v>
      </c>
      <c r="D141" s="15">
        <v>2</v>
      </c>
      <c r="E141" s="16">
        <v>46128</v>
      </c>
      <c r="F141" s="17">
        <v>0.85416666666666663</v>
      </c>
      <c r="G141" s="15" t="s">
        <v>18</v>
      </c>
      <c r="H141" s="15" t="s">
        <v>310</v>
      </c>
      <c r="I141" s="15" t="s">
        <v>296</v>
      </c>
      <c r="J141" s="15" t="s">
        <v>15</v>
      </c>
      <c r="K141" s="15" t="s">
        <v>48</v>
      </c>
      <c r="L141" s="15" t="s">
        <v>13</v>
      </c>
      <c r="M141" s="15" t="s">
        <v>47</v>
      </c>
      <c r="N141" s="15" t="s">
        <v>239</v>
      </c>
      <c r="O141" s="15" t="str">
        <f>_xlfn.XLOOKUP(N141,players!A:A,players!D:D,"")</f>
        <v>Hakim Jackson</v>
      </c>
      <c r="P141" s="15" cm="1">
        <f t="array" ref="P141">_xlfn.XLOOKUP(I141&amp;N141,rosterSpots!B:B&amp;rosterSpots!D:D,rosterSpots!E:E,"")</f>
        <v>77</v>
      </c>
      <c r="Q141" s="15">
        <f xml:space="preserve"> (playerGameStats!$R141 * 2) + (playerGameStats!$S141 * 3) + (playerGameStats!$T141)</f>
        <v>14</v>
      </c>
      <c r="R141" s="15">
        <v>1</v>
      </c>
      <c r="S141" s="15">
        <v>4</v>
      </c>
      <c r="T141" s="15">
        <v>0</v>
      </c>
      <c r="U141" s="18">
        <v>0</v>
      </c>
    </row>
    <row r="142" spans="1:21" x14ac:dyDescent="0.25">
      <c r="A142" s="19" t="s">
        <v>343</v>
      </c>
      <c r="B142" s="20">
        <v>2026</v>
      </c>
      <c r="C142" s="20" t="s">
        <v>36</v>
      </c>
      <c r="D142" s="20">
        <v>2</v>
      </c>
      <c r="E142" s="21">
        <v>46128</v>
      </c>
      <c r="F142" s="22">
        <v>0.85416666666666663</v>
      </c>
      <c r="G142" s="20" t="s">
        <v>18</v>
      </c>
      <c r="H142" s="20" t="s">
        <v>310</v>
      </c>
      <c r="I142" s="20" t="s">
        <v>296</v>
      </c>
      <c r="J142" s="20" t="s">
        <v>15</v>
      </c>
      <c r="K142" s="20" t="s">
        <v>48</v>
      </c>
      <c r="L142" s="20" t="s">
        <v>13</v>
      </c>
      <c r="M142" s="20" t="s">
        <v>47</v>
      </c>
      <c r="N142" s="20" t="s">
        <v>369</v>
      </c>
      <c r="O142" s="20" t="str">
        <f>_xlfn.XLOOKUP(N142,players!A:A,players!D:D,"")</f>
        <v>David Wegman</v>
      </c>
      <c r="P142" s="20" cm="1">
        <f t="array" ref="P142">_xlfn.XLOOKUP(I142&amp;N142,rosterSpots!B:B&amp;rosterSpots!D:D,rosterSpots!E:E,"")</f>
        <v>43</v>
      </c>
      <c r="Q142" s="20">
        <f xml:space="preserve"> (playerGameStats!$R142 * 2) + (playerGameStats!$S142 * 3) + (playerGameStats!$T142)</f>
        <v>10</v>
      </c>
      <c r="R142" s="20">
        <v>4</v>
      </c>
      <c r="S142" s="20">
        <v>0</v>
      </c>
      <c r="T142" s="20">
        <v>2</v>
      </c>
      <c r="U142" s="23">
        <v>2</v>
      </c>
    </row>
    <row r="143" spans="1:21" x14ac:dyDescent="0.25">
      <c r="A143" s="14" t="s">
        <v>343</v>
      </c>
      <c r="B143" s="15">
        <v>2026</v>
      </c>
      <c r="C143" s="15" t="s">
        <v>36</v>
      </c>
      <c r="D143" s="15">
        <v>2</v>
      </c>
      <c r="E143" s="16">
        <v>46128</v>
      </c>
      <c r="F143" s="17">
        <v>0.85416666666666663</v>
      </c>
      <c r="G143" s="15" t="s">
        <v>18</v>
      </c>
      <c r="H143" s="15" t="s">
        <v>310</v>
      </c>
      <c r="I143" s="15" t="s">
        <v>297</v>
      </c>
      <c r="J143" s="15" t="s">
        <v>13</v>
      </c>
      <c r="K143" s="15" t="s">
        <v>47</v>
      </c>
      <c r="L143" s="15" t="s">
        <v>15</v>
      </c>
      <c r="M143" s="15" t="s">
        <v>48</v>
      </c>
      <c r="N143" s="15" t="s">
        <v>249</v>
      </c>
      <c r="O143" s="15" t="str">
        <f>_xlfn.XLOOKUP(N143,players!A:A,players!D:D,"")</f>
        <v>Chris Ellis</v>
      </c>
      <c r="P143" s="15" cm="1">
        <f t="array" ref="P143">_xlfn.XLOOKUP(I143&amp;N143,rosterSpots!B:B&amp;rosterSpots!D:D,rosterSpots!E:E,"")</f>
        <v>0</v>
      </c>
      <c r="Q143" s="15">
        <f xml:space="preserve"> (playerGameStats!$R143 * 2) + (playerGameStats!$S143 * 3) + (playerGameStats!$T143)</f>
        <v>10</v>
      </c>
      <c r="R143" s="15">
        <v>1</v>
      </c>
      <c r="S143" s="15">
        <v>2</v>
      </c>
      <c r="T143" s="15">
        <v>2</v>
      </c>
      <c r="U143" s="18">
        <v>4</v>
      </c>
    </row>
    <row r="144" spans="1:21" x14ac:dyDescent="0.25">
      <c r="A144" s="19" t="s">
        <v>343</v>
      </c>
      <c r="B144" s="20">
        <v>2026</v>
      </c>
      <c r="C144" s="20" t="s">
        <v>36</v>
      </c>
      <c r="D144" s="20">
        <v>2</v>
      </c>
      <c r="E144" s="21">
        <v>46128</v>
      </c>
      <c r="F144" s="22">
        <v>0.85416666666666663</v>
      </c>
      <c r="G144" s="20" t="s">
        <v>18</v>
      </c>
      <c r="H144" s="20" t="s">
        <v>310</v>
      </c>
      <c r="I144" s="20" t="s">
        <v>297</v>
      </c>
      <c r="J144" s="20" t="s">
        <v>13</v>
      </c>
      <c r="K144" s="20" t="s">
        <v>47</v>
      </c>
      <c r="L144" s="20" t="s">
        <v>15</v>
      </c>
      <c r="M144" s="20" t="s">
        <v>48</v>
      </c>
      <c r="N144" s="20" t="s">
        <v>248</v>
      </c>
      <c r="O144" s="20" t="str">
        <f>_xlfn.XLOOKUP(N144,players!A:A,players!D:D,"")</f>
        <v>Grant Clark</v>
      </c>
      <c r="P144" s="20" cm="1">
        <f t="array" ref="P144">_xlfn.XLOOKUP(I144&amp;N144,rosterSpots!B:B&amp;rosterSpots!D:D,rosterSpots!E:E,"")</f>
        <v>1</v>
      </c>
      <c r="Q144" s="20">
        <f xml:space="preserve"> (playerGameStats!$R144 * 2) + (playerGameStats!$S144 * 3) + (playerGameStats!$T144)</f>
        <v>19</v>
      </c>
      <c r="R144" s="20">
        <v>6</v>
      </c>
      <c r="S144" s="20">
        <v>2</v>
      </c>
      <c r="T144" s="20">
        <v>1</v>
      </c>
      <c r="U144" s="23">
        <v>3</v>
      </c>
    </row>
    <row r="145" spans="1:21" x14ac:dyDescent="0.25">
      <c r="A145" s="14" t="s">
        <v>343</v>
      </c>
      <c r="B145" s="15">
        <v>2026</v>
      </c>
      <c r="C145" s="15" t="s">
        <v>36</v>
      </c>
      <c r="D145" s="15">
        <v>2</v>
      </c>
      <c r="E145" s="16">
        <v>46128</v>
      </c>
      <c r="F145" s="17">
        <v>0.85416666666666663</v>
      </c>
      <c r="G145" s="15" t="s">
        <v>18</v>
      </c>
      <c r="H145" s="15" t="s">
        <v>310</v>
      </c>
      <c r="I145" s="15" t="s">
        <v>297</v>
      </c>
      <c r="J145" s="15" t="s">
        <v>13</v>
      </c>
      <c r="K145" s="15" t="s">
        <v>47</v>
      </c>
      <c r="L145" s="15" t="s">
        <v>15</v>
      </c>
      <c r="M145" s="15" t="s">
        <v>48</v>
      </c>
      <c r="N145" s="15" t="s">
        <v>252</v>
      </c>
      <c r="O145" s="15" t="str">
        <f>_xlfn.XLOOKUP(N145,players!A:A,players!D:D,"")</f>
        <v>Sean Lane</v>
      </c>
      <c r="P145" s="15" cm="1">
        <f t="array" ref="P145">_xlfn.XLOOKUP(I145&amp;N145,rosterSpots!B:B&amp;rosterSpots!D:D,rosterSpots!E:E,"")</f>
        <v>3</v>
      </c>
      <c r="Q145" s="15">
        <f xml:space="preserve"> (playerGameStats!$R145 * 2) + (playerGameStats!$S145 * 3) + (playerGameStats!$T145)</f>
        <v>8</v>
      </c>
      <c r="R145" s="15">
        <v>1</v>
      </c>
      <c r="S145" s="15">
        <v>2</v>
      </c>
      <c r="T145" s="15">
        <v>0</v>
      </c>
      <c r="U145" s="18">
        <v>0</v>
      </c>
    </row>
    <row r="146" spans="1:21" x14ac:dyDescent="0.25">
      <c r="A146" s="19" t="s">
        <v>343</v>
      </c>
      <c r="B146" s="20">
        <v>2026</v>
      </c>
      <c r="C146" s="20" t="s">
        <v>36</v>
      </c>
      <c r="D146" s="20">
        <v>2</v>
      </c>
      <c r="E146" s="21">
        <v>46128</v>
      </c>
      <c r="F146" s="22">
        <v>0.85416666666666663</v>
      </c>
      <c r="G146" s="20" t="s">
        <v>18</v>
      </c>
      <c r="H146" s="20" t="s">
        <v>310</v>
      </c>
      <c r="I146" s="20" t="s">
        <v>297</v>
      </c>
      <c r="J146" s="20" t="s">
        <v>13</v>
      </c>
      <c r="K146" s="20" t="s">
        <v>47</v>
      </c>
      <c r="L146" s="20" t="s">
        <v>15</v>
      </c>
      <c r="M146" s="20" t="s">
        <v>48</v>
      </c>
      <c r="N146" s="20" t="s">
        <v>244</v>
      </c>
      <c r="O146" s="20" t="str">
        <f>_xlfn.XLOOKUP(N146,players!A:A,players!D:D,"")</f>
        <v>Eli Ratliff</v>
      </c>
      <c r="P146" s="20" cm="1">
        <f t="array" ref="P146">_xlfn.XLOOKUP(I146&amp;N146,rosterSpots!B:B&amp;rosterSpots!D:D,rosterSpots!E:E,"")</f>
        <v>4</v>
      </c>
      <c r="Q146" s="20">
        <f xml:space="preserve"> (playerGameStats!$R146 * 2) + (playerGameStats!$S146 * 3) + (playerGameStats!$T146)</f>
        <v>6</v>
      </c>
      <c r="R146" s="20">
        <v>0</v>
      </c>
      <c r="S146" s="20">
        <v>2</v>
      </c>
      <c r="T146" s="20">
        <v>0</v>
      </c>
      <c r="U146" s="23">
        <v>0</v>
      </c>
    </row>
    <row r="147" spans="1:21" x14ac:dyDescent="0.25">
      <c r="A147" s="14" t="s">
        <v>343</v>
      </c>
      <c r="B147" s="15">
        <v>2026</v>
      </c>
      <c r="C147" s="15" t="s">
        <v>36</v>
      </c>
      <c r="D147" s="15">
        <v>2</v>
      </c>
      <c r="E147" s="16">
        <v>46128</v>
      </c>
      <c r="F147" s="17">
        <v>0.85416666666666663</v>
      </c>
      <c r="G147" s="15" t="s">
        <v>18</v>
      </c>
      <c r="H147" s="15" t="s">
        <v>310</v>
      </c>
      <c r="I147" s="15" t="s">
        <v>297</v>
      </c>
      <c r="J147" s="15" t="s">
        <v>13</v>
      </c>
      <c r="K147" s="15" t="s">
        <v>47</v>
      </c>
      <c r="L147" s="15" t="s">
        <v>15</v>
      </c>
      <c r="M147" s="15" t="s">
        <v>48</v>
      </c>
      <c r="N147" s="15" t="s">
        <v>251</v>
      </c>
      <c r="O147" s="15" t="str">
        <f>_xlfn.XLOOKUP(N147,players!A:A,players!D:D,"")</f>
        <v>Kyle Kelly</v>
      </c>
      <c r="P147" s="15" cm="1">
        <f t="array" ref="P147">_xlfn.XLOOKUP(I147&amp;N147,rosterSpots!B:B&amp;rosterSpots!D:D,rosterSpots!E:E,"")</f>
        <v>13</v>
      </c>
      <c r="Q147" s="15">
        <f xml:space="preserve"> (playerGameStats!$R147 * 2) + (playerGameStats!$S147 * 3) + (playerGameStats!$T147)</f>
        <v>13</v>
      </c>
      <c r="R147" s="15">
        <v>5</v>
      </c>
      <c r="S147" s="15">
        <v>1</v>
      </c>
      <c r="T147" s="15">
        <v>0</v>
      </c>
      <c r="U147" s="18">
        <v>0</v>
      </c>
    </row>
    <row r="148" spans="1:21" x14ac:dyDescent="0.25">
      <c r="A148" s="19" t="s">
        <v>343</v>
      </c>
      <c r="B148" s="20">
        <v>2026</v>
      </c>
      <c r="C148" s="20" t="s">
        <v>36</v>
      </c>
      <c r="D148" s="20">
        <v>2</v>
      </c>
      <c r="E148" s="21">
        <v>46128</v>
      </c>
      <c r="F148" s="22">
        <v>0.85416666666666663</v>
      </c>
      <c r="G148" s="20" t="s">
        <v>18</v>
      </c>
      <c r="H148" s="20" t="s">
        <v>310</v>
      </c>
      <c r="I148" s="20" t="s">
        <v>297</v>
      </c>
      <c r="J148" s="20" t="s">
        <v>13</v>
      </c>
      <c r="K148" s="20" t="s">
        <v>47</v>
      </c>
      <c r="L148" s="20" t="s">
        <v>15</v>
      </c>
      <c r="M148" s="20" t="s">
        <v>48</v>
      </c>
      <c r="N148" s="20" t="s">
        <v>247</v>
      </c>
      <c r="O148" s="20" t="str">
        <f>_xlfn.XLOOKUP(N148,players!A:A,players!D:D,"")</f>
        <v>Donte Diggs</v>
      </c>
      <c r="P148" s="20" cm="1">
        <f t="array" ref="P148">_xlfn.XLOOKUP(I148&amp;N148,rosterSpots!B:B&amp;rosterSpots!D:D,rosterSpots!E:E,"")</f>
        <v>21</v>
      </c>
      <c r="Q148" s="20">
        <f xml:space="preserve"> (playerGameStats!$R148 * 2) + (playerGameStats!$S148 * 3) + (playerGameStats!$T148)</f>
        <v>2</v>
      </c>
      <c r="R148" s="20">
        <v>1</v>
      </c>
      <c r="S148" s="20">
        <v>0</v>
      </c>
      <c r="T148" s="20">
        <v>0</v>
      </c>
      <c r="U148" s="23">
        <v>0</v>
      </c>
    </row>
    <row r="149" spans="1:21" x14ac:dyDescent="0.25">
      <c r="A149" s="14" t="s">
        <v>343</v>
      </c>
      <c r="B149" s="15">
        <v>2026</v>
      </c>
      <c r="C149" s="15" t="s">
        <v>36</v>
      </c>
      <c r="D149" s="15">
        <v>2</v>
      </c>
      <c r="E149" s="16">
        <v>46128</v>
      </c>
      <c r="F149" s="17">
        <v>0.85416666666666663</v>
      </c>
      <c r="G149" s="15" t="s">
        <v>18</v>
      </c>
      <c r="H149" s="15" t="s">
        <v>310</v>
      </c>
      <c r="I149" s="15" t="s">
        <v>297</v>
      </c>
      <c r="J149" s="15" t="s">
        <v>13</v>
      </c>
      <c r="K149" s="15" t="s">
        <v>47</v>
      </c>
      <c r="L149" s="15" t="s">
        <v>15</v>
      </c>
      <c r="M149" s="15" t="s">
        <v>48</v>
      </c>
      <c r="N149" s="15" t="s">
        <v>246</v>
      </c>
      <c r="O149" s="15" t="str">
        <f>_xlfn.XLOOKUP(N149,players!A:A,players!D:D,"")</f>
        <v>Niko Balis</v>
      </c>
      <c r="P149" s="15" cm="1">
        <f t="array" ref="P149">_xlfn.XLOOKUP(I149&amp;N149,rosterSpots!B:B&amp;rosterSpots!D:D,rosterSpots!E:E,"")</f>
        <v>51</v>
      </c>
      <c r="Q149" s="15">
        <f xml:space="preserve"> (playerGameStats!$R149 * 2) + (playerGameStats!$S149 * 3) + (playerGameStats!$T149)</f>
        <v>11</v>
      </c>
      <c r="R149" s="15">
        <v>4</v>
      </c>
      <c r="S149" s="15">
        <v>1</v>
      </c>
      <c r="T149" s="15">
        <v>0</v>
      </c>
      <c r="U149" s="18">
        <v>0</v>
      </c>
    </row>
    <row r="150" spans="1:21" x14ac:dyDescent="0.25">
      <c r="A150" s="19" t="s">
        <v>342</v>
      </c>
      <c r="B150" s="20">
        <v>2026</v>
      </c>
      <c r="C150" s="20" t="s">
        <v>36</v>
      </c>
      <c r="D150" s="20">
        <v>3</v>
      </c>
      <c r="E150" s="21">
        <v>46132</v>
      </c>
      <c r="F150" s="22">
        <v>0.77083333333333337</v>
      </c>
      <c r="G150" s="20" t="s">
        <v>18</v>
      </c>
      <c r="H150" s="20" t="s">
        <v>310</v>
      </c>
      <c r="I150" s="20" t="s">
        <v>299</v>
      </c>
      <c r="J150" s="20" t="s">
        <v>14</v>
      </c>
      <c r="K150" s="20" t="s">
        <v>43</v>
      </c>
      <c r="L150" s="20" t="s">
        <v>17</v>
      </c>
      <c r="M150" s="20" t="s">
        <v>49</v>
      </c>
      <c r="N150" s="20" t="s">
        <v>271</v>
      </c>
      <c r="O150" s="20" t="str">
        <f>_xlfn.XLOOKUP(N150,players!A:A,players!D:D,"")</f>
        <v>Courtney Cubbage</v>
      </c>
      <c r="P150" s="20" cm="1">
        <f t="array" ref="P150">_xlfn.XLOOKUP(I150&amp;N150,rosterSpots!B:B&amp;rosterSpots!D:D,rosterSpots!E:E,"")</f>
        <v>1</v>
      </c>
      <c r="Q150" s="20">
        <f xml:space="preserve"> (playerGameStats!$R150 * 2) + (playerGameStats!$S150 * 3) + (playerGameStats!$T150)</f>
        <v>5</v>
      </c>
      <c r="R150" s="20">
        <v>1</v>
      </c>
      <c r="S150" s="20">
        <v>1</v>
      </c>
      <c r="T150" s="20">
        <v>0</v>
      </c>
      <c r="U150" s="23">
        <v>1</v>
      </c>
    </row>
    <row r="151" spans="1:21" x14ac:dyDescent="0.25">
      <c r="A151" s="14" t="s">
        <v>342</v>
      </c>
      <c r="B151" s="15">
        <v>2026</v>
      </c>
      <c r="C151" s="15" t="s">
        <v>36</v>
      </c>
      <c r="D151" s="15">
        <v>3</v>
      </c>
      <c r="E151" s="16">
        <v>46132</v>
      </c>
      <c r="F151" s="17">
        <v>0.77083333333333337</v>
      </c>
      <c r="G151" s="15" t="s">
        <v>18</v>
      </c>
      <c r="H151" s="15" t="s">
        <v>310</v>
      </c>
      <c r="I151" s="15" t="s">
        <v>299</v>
      </c>
      <c r="J151" s="15" t="s">
        <v>14</v>
      </c>
      <c r="K151" s="15" t="s">
        <v>43</v>
      </c>
      <c r="L151" s="15" t="s">
        <v>17</v>
      </c>
      <c r="M151" s="15" t="s">
        <v>49</v>
      </c>
      <c r="N151" s="15" t="s">
        <v>268</v>
      </c>
      <c r="O151" s="15" t="str">
        <f>_xlfn.XLOOKUP(N151,players!A:A,players!D:D,"")</f>
        <v>Bassang Atoulelou</v>
      </c>
      <c r="P151" s="15" cm="1">
        <f t="array" ref="P151">_xlfn.XLOOKUP(I151&amp;N151,rosterSpots!B:B&amp;rosterSpots!D:D,rosterSpots!E:E,"")</f>
        <v>2</v>
      </c>
      <c r="Q151" s="15">
        <f xml:space="preserve"> (playerGameStats!$R151 * 2) + (playerGameStats!$S151 * 3) + (playerGameStats!$T151)</f>
        <v>5</v>
      </c>
      <c r="R151" s="15">
        <v>1</v>
      </c>
      <c r="S151" s="15">
        <v>1</v>
      </c>
      <c r="T151" s="15">
        <v>0</v>
      </c>
      <c r="U151" s="18">
        <v>0</v>
      </c>
    </row>
    <row r="152" spans="1:21" x14ac:dyDescent="0.25">
      <c r="A152" s="19" t="s">
        <v>342</v>
      </c>
      <c r="B152" s="20">
        <v>2026</v>
      </c>
      <c r="C152" s="20" t="s">
        <v>36</v>
      </c>
      <c r="D152" s="20">
        <v>3</v>
      </c>
      <c r="E152" s="21">
        <v>46132</v>
      </c>
      <c r="F152" s="22">
        <v>0.77083333333333337</v>
      </c>
      <c r="G152" s="20" t="s">
        <v>18</v>
      </c>
      <c r="H152" s="20" t="s">
        <v>310</v>
      </c>
      <c r="I152" s="20" t="s">
        <v>299</v>
      </c>
      <c r="J152" s="20" t="s">
        <v>14</v>
      </c>
      <c r="K152" s="20" t="s">
        <v>43</v>
      </c>
      <c r="L152" s="20" t="s">
        <v>17</v>
      </c>
      <c r="M152" s="20" t="s">
        <v>49</v>
      </c>
      <c r="N152" s="20" t="s">
        <v>272</v>
      </c>
      <c r="O152" s="20" t="str">
        <f>_xlfn.XLOOKUP(N152,players!A:A,players!D:D,"")</f>
        <v>Bryce Meredith</v>
      </c>
      <c r="P152" s="20" cm="1">
        <f t="array" ref="P152">_xlfn.XLOOKUP(I152&amp;N152,rosterSpots!B:B&amp;rosterSpots!D:D,rosterSpots!E:E,"")</f>
        <v>3</v>
      </c>
      <c r="Q152" s="20">
        <f xml:space="preserve"> (playerGameStats!$R152 * 2) + (playerGameStats!$S152 * 3) + (playerGameStats!$T152)</f>
        <v>6</v>
      </c>
      <c r="R152" s="20">
        <v>3</v>
      </c>
      <c r="S152" s="20">
        <v>0</v>
      </c>
      <c r="T152" s="20">
        <v>0</v>
      </c>
      <c r="U152" s="23">
        <v>0</v>
      </c>
    </row>
    <row r="153" spans="1:21" x14ac:dyDescent="0.25">
      <c r="A153" s="14" t="s">
        <v>342</v>
      </c>
      <c r="B153" s="15">
        <v>2026</v>
      </c>
      <c r="C153" s="15" t="s">
        <v>36</v>
      </c>
      <c r="D153" s="15">
        <v>3</v>
      </c>
      <c r="E153" s="16">
        <v>46132</v>
      </c>
      <c r="F153" s="17">
        <v>0.77083333333333337</v>
      </c>
      <c r="G153" s="15" t="s">
        <v>18</v>
      </c>
      <c r="H153" s="15" t="s">
        <v>310</v>
      </c>
      <c r="I153" s="15" t="s">
        <v>299</v>
      </c>
      <c r="J153" s="15" t="s">
        <v>14</v>
      </c>
      <c r="K153" s="15" t="s">
        <v>43</v>
      </c>
      <c r="L153" s="15" t="s">
        <v>17</v>
      </c>
      <c r="M153" s="15" t="s">
        <v>49</v>
      </c>
      <c r="N153" s="15" t="s">
        <v>267</v>
      </c>
      <c r="O153" s="15" t="str">
        <f>_xlfn.XLOOKUP(N153,players!A:A,players!D:D,"")</f>
        <v>Keshon Coleman</v>
      </c>
      <c r="P153" s="15" cm="1">
        <f t="array" ref="P153">_xlfn.XLOOKUP(I153&amp;N153,rosterSpots!B:B&amp;rosterSpots!D:D,rosterSpots!E:E,"")</f>
        <v>4</v>
      </c>
      <c r="Q153" s="15">
        <f xml:space="preserve"> (playerGameStats!$R153 * 2) + (playerGameStats!$S153 * 3) + (playerGameStats!$T153)</f>
        <v>5</v>
      </c>
      <c r="R153" s="15">
        <v>1</v>
      </c>
      <c r="S153" s="15">
        <v>1</v>
      </c>
      <c r="T153" s="15">
        <v>0</v>
      </c>
      <c r="U153" s="18">
        <v>0</v>
      </c>
    </row>
    <row r="154" spans="1:21" x14ac:dyDescent="0.25">
      <c r="A154" s="19" t="s">
        <v>342</v>
      </c>
      <c r="B154" s="20">
        <v>2026</v>
      </c>
      <c r="C154" s="20" t="s">
        <v>36</v>
      </c>
      <c r="D154" s="20">
        <v>3</v>
      </c>
      <c r="E154" s="21">
        <v>46132</v>
      </c>
      <c r="F154" s="22">
        <v>0.77083333333333337</v>
      </c>
      <c r="G154" s="20" t="s">
        <v>18</v>
      </c>
      <c r="H154" s="20" t="s">
        <v>310</v>
      </c>
      <c r="I154" s="20" t="s">
        <v>299</v>
      </c>
      <c r="J154" s="20" t="s">
        <v>14</v>
      </c>
      <c r="K154" s="20" t="s">
        <v>43</v>
      </c>
      <c r="L154" s="20" t="s">
        <v>17</v>
      </c>
      <c r="M154" s="20" t="s">
        <v>49</v>
      </c>
      <c r="N154" s="20" t="s">
        <v>264</v>
      </c>
      <c r="O154" s="20" t="str">
        <f>_xlfn.XLOOKUP(N154,players!A:A,players!D:D,"")</f>
        <v/>
      </c>
      <c r="P154" s="20" cm="1">
        <f t="array" ref="P154">_xlfn.XLOOKUP(I154&amp;N154,rosterSpots!B:B&amp;rosterSpots!D:D,rosterSpots!E:E,"")</f>
        <v>6</v>
      </c>
      <c r="Q154" s="20">
        <f xml:space="preserve"> (playerGameStats!$R154 * 2) + (playerGameStats!$S154 * 3) + (playerGameStats!$T154)</f>
        <v>7</v>
      </c>
      <c r="R154" s="20">
        <v>3</v>
      </c>
      <c r="S154" s="20">
        <v>0</v>
      </c>
      <c r="T154" s="20">
        <v>1</v>
      </c>
      <c r="U154" s="23">
        <v>4</v>
      </c>
    </row>
    <row r="155" spans="1:21" x14ac:dyDescent="0.25">
      <c r="A155" s="14" t="s">
        <v>342</v>
      </c>
      <c r="B155" s="15">
        <v>2026</v>
      </c>
      <c r="C155" s="15" t="s">
        <v>36</v>
      </c>
      <c r="D155" s="15">
        <v>3</v>
      </c>
      <c r="E155" s="16">
        <v>46132</v>
      </c>
      <c r="F155" s="17">
        <v>0.77083333333333337</v>
      </c>
      <c r="G155" s="15" t="s">
        <v>18</v>
      </c>
      <c r="H155" s="15" t="s">
        <v>310</v>
      </c>
      <c r="I155" s="15" t="s">
        <v>299</v>
      </c>
      <c r="J155" s="15" t="s">
        <v>14</v>
      </c>
      <c r="K155" s="15" t="s">
        <v>43</v>
      </c>
      <c r="L155" s="15" t="s">
        <v>17</v>
      </c>
      <c r="M155" s="15" t="s">
        <v>49</v>
      </c>
      <c r="N155" s="15" t="s">
        <v>270</v>
      </c>
      <c r="O155" s="15" t="str">
        <f>_xlfn.XLOOKUP(N155,players!A:A,players!D:D,"")</f>
        <v>Thomas Lynen</v>
      </c>
      <c r="P155" s="15" cm="1">
        <f t="array" ref="P155">_xlfn.XLOOKUP(I155&amp;N155,rosterSpots!B:B&amp;rosterSpots!D:D,rosterSpots!E:E,"")</f>
        <v>7</v>
      </c>
      <c r="Q155" s="15">
        <f xml:space="preserve"> (playerGameStats!$R155 * 2) + (playerGameStats!$S155 * 3) + (playerGameStats!$T155)</f>
        <v>6</v>
      </c>
      <c r="R155" s="15">
        <v>3</v>
      </c>
      <c r="S155" s="15">
        <v>0</v>
      </c>
      <c r="T155" s="15">
        <v>0</v>
      </c>
      <c r="U155" s="18">
        <v>0</v>
      </c>
    </row>
    <row r="156" spans="1:21" x14ac:dyDescent="0.25">
      <c r="A156" s="19" t="s">
        <v>342</v>
      </c>
      <c r="B156" s="20">
        <v>2026</v>
      </c>
      <c r="C156" s="20" t="s">
        <v>36</v>
      </c>
      <c r="D156" s="20">
        <v>3</v>
      </c>
      <c r="E156" s="21">
        <v>46132</v>
      </c>
      <c r="F156" s="22">
        <v>0.77083333333333337</v>
      </c>
      <c r="G156" s="20" t="s">
        <v>18</v>
      </c>
      <c r="H156" s="20" t="s">
        <v>310</v>
      </c>
      <c r="I156" s="20" t="s">
        <v>299</v>
      </c>
      <c r="J156" s="20" t="s">
        <v>14</v>
      </c>
      <c r="K156" s="20" t="s">
        <v>43</v>
      </c>
      <c r="L156" s="20" t="s">
        <v>17</v>
      </c>
      <c r="M156" s="20" t="s">
        <v>49</v>
      </c>
      <c r="N156" s="20" t="s">
        <v>265</v>
      </c>
      <c r="O156" s="20" t="str">
        <f>_xlfn.XLOOKUP(N156,players!A:A,players!D:D,"")</f>
        <v>Ben Golden</v>
      </c>
      <c r="P156" s="20" cm="1">
        <f t="array" ref="P156">_xlfn.XLOOKUP(I156&amp;N156,rosterSpots!B:B&amp;rosterSpots!D:D,rosterSpots!E:E,"")</f>
        <v>8</v>
      </c>
      <c r="Q156" s="20">
        <f xml:space="preserve"> (playerGameStats!$R156 * 2) + (playerGameStats!$S156 * 3) + (playerGameStats!$T156)</f>
        <v>13</v>
      </c>
      <c r="R156" s="20">
        <v>2</v>
      </c>
      <c r="S156" s="20">
        <v>3</v>
      </c>
      <c r="T156" s="20">
        <v>0</v>
      </c>
      <c r="U156" s="23">
        <v>0</v>
      </c>
    </row>
    <row r="157" spans="1:21" x14ac:dyDescent="0.25">
      <c r="A157" s="14" t="s">
        <v>342</v>
      </c>
      <c r="B157" s="15">
        <v>2026</v>
      </c>
      <c r="C157" s="15" t="s">
        <v>36</v>
      </c>
      <c r="D157" s="15">
        <v>3</v>
      </c>
      <c r="E157" s="16">
        <v>46132</v>
      </c>
      <c r="F157" s="17">
        <v>0.77083333333333337</v>
      </c>
      <c r="G157" s="15" t="s">
        <v>18</v>
      </c>
      <c r="H157" s="15" t="s">
        <v>310</v>
      </c>
      <c r="I157" s="15" t="s">
        <v>299</v>
      </c>
      <c r="J157" s="15" t="s">
        <v>14</v>
      </c>
      <c r="K157" s="15" t="s">
        <v>43</v>
      </c>
      <c r="L157" s="15" t="s">
        <v>17</v>
      </c>
      <c r="M157" s="15" t="s">
        <v>49</v>
      </c>
      <c r="N157" s="15" t="s">
        <v>262</v>
      </c>
      <c r="O157" s="15" t="str">
        <f>_xlfn.XLOOKUP(N157,players!A:A,players!D:D,"")</f>
        <v>Connor Thomas</v>
      </c>
      <c r="P157" s="15" cm="1">
        <f t="array" ref="P157">_xlfn.XLOOKUP(I157&amp;N157,rosterSpots!B:B&amp;rosterSpots!D:D,rosterSpots!E:E,"")</f>
        <v>9</v>
      </c>
      <c r="Q157" s="15">
        <f xml:space="preserve"> (playerGameStats!$R157 * 2) + (playerGameStats!$S157 * 3) + (playerGameStats!$T157)</f>
        <v>2</v>
      </c>
      <c r="R157" s="15">
        <v>1</v>
      </c>
      <c r="S157" s="15">
        <v>0</v>
      </c>
      <c r="T157" s="15">
        <v>0</v>
      </c>
      <c r="U157" s="18">
        <v>0</v>
      </c>
    </row>
    <row r="158" spans="1:21" x14ac:dyDescent="0.25">
      <c r="A158" s="19" t="s">
        <v>342</v>
      </c>
      <c r="B158" s="20">
        <v>2026</v>
      </c>
      <c r="C158" s="20" t="s">
        <v>36</v>
      </c>
      <c r="D158" s="20">
        <v>3</v>
      </c>
      <c r="E158" s="21">
        <v>46132</v>
      </c>
      <c r="F158" s="22">
        <v>0.77083333333333337</v>
      </c>
      <c r="G158" s="20" t="s">
        <v>18</v>
      </c>
      <c r="H158" s="20" t="s">
        <v>310</v>
      </c>
      <c r="I158" s="20" t="s">
        <v>299</v>
      </c>
      <c r="J158" s="20" t="s">
        <v>14</v>
      </c>
      <c r="K158" s="20" t="s">
        <v>43</v>
      </c>
      <c r="L158" s="20" t="s">
        <v>17</v>
      </c>
      <c r="M158" s="20" t="s">
        <v>49</v>
      </c>
      <c r="N158" s="20" t="s">
        <v>263</v>
      </c>
      <c r="O158" s="20" t="str">
        <f>_xlfn.XLOOKUP(N158,players!A:A,players!D:D,"")</f>
        <v>Connor Holm</v>
      </c>
      <c r="P158" s="20" cm="1">
        <f t="array" ref="P158">_xlfn.XLOOKUP(I158&amp;N158,rosterSpots!B:B&amp;rosterSpots!D:D,rosterSpots!E:E,"")</f>
        <v>12</v>
      </c>
      <c r="Q158" s="20">
        <f xml:space="preserve"> (playerGameStats!$R158 * 2) + (playerGameStats!$S158 * 3) + (playerGameStats!$T158)</f>
        <v>8</v>
      </c>
      <c r="R158" s="20">
        <v>4</v>
      </c>
      <c r="S158" s="20">
        <v>0</v>
      </c>
      <c r="T158" s="20">
        <v>0</v>
      </c>
      <c r="U158" s="23">
        <v>0</v>
      </c>
    </row>
    <row r="159" spans="1:21" x14ac:dyDescent="0.25">
      <c r="A159" s="14" t="s">
        <v>342</v>
      </c>
      <c r="B159" s="15">
        <v>2026</v>
      </c>
      <c r="C159" s="15" t="s">
        <v>36</v>
      </c>
      <c r="D159" s="15">
        <v>3</v>
      </c>
      <c r="E159" s="16">
        <v>46132</v>
      </c>
      <c r="F159" s="17">
        <v>0.77083333333333337</v>
      </c>
      <c r="G159" s="15" t="s">
        <v>18</v>
      </c>
      <c r="H159" s="15" t="s">
        <v>310</v>
      </c>
      <c r="I159" s="15" t="s">
        <v>299</v>
      </c>
      <c r="J159" s="15" t="s">
        <v>14</v>
      </c>
      <c r="K159" s="15" t="s">
        <v>43</v>
      </c>
      <c r="L159" s="15" t="s">
        <v>17</v>
      </c>
      <c r="M159" s="15" t="s">
        <v>49</v>
      </c>
      <c r="N159" s="15" t="s">
        <v>266</v>
      </c>
      <c r="O159" s="15" t="str">
        <f>_xlfn.XLOOKUP(N159,players!A:A,players!D:D,"")</f>
        <v>Ian McCaw</v>
      </c>
      <c r="P159" s="15" cm="1">
        <f t="array" ref="P159">_xlfn.XLOOKUP(I159&amp;N159,rosterSpots!B:B&amp;rosterSpots!D:D,rosterSpots!E:E,"")</f>
        <v>50</v>
      </c>
      <c r="Q159" s="15">
        <f xml:space="preserve"> (playerGameStats!$R159 * 2) + (playerGameStats!$S159 * 3) + (playerGameStats!$T159)</f>
        <v>4</v>
      </c>
      <c r="R159" s="15">
        <v>1</v>
      </c>
      <c r="S159" s="15">
        <v>0</v>
      </c>
      <c r="T159" s="15">
        <v>2</v>
      </c>
      <c r="U159" s="18">
        <v>2</v>
      </c>
    </row>
    <row r="160" spans="1:21" x14ac:dyDescent="0.25">
      <c r="A160" s="19" t="s">
        <v>342</v>
      </c>
      <c r="B160" s="20">
        <v>2026</v>
      </c>
      <c r="C160" s="20" t="s">
        <v>36</v>
      </c>
      <c r="D160" s="20">
        <v>3</v>
      </c>
      <c r="E160" s="21">
        <v>46132</v>
      </c>
      <c r="F160" s="22">
        <v>0.77083333333333337</v>
      </c>
      <c r="G160" s="20" t="s">
        <v>18</v>
      </c>
      <c r="H160" s="20" t="s">
        <v>310</v>
      </c>
      <c r="I160" s="20" t="s">
        <v>301</v>
      </c>
      <c r="J160" s="20" t="s">
        <v>17</v>
      </c>
      <c r="K160" s="20" t="s">
        <v>49</v>
      </c>
      <c r="L160" s="20" t="s">
        <v>14</v>
      </c>
      <c r="M160" s="20" t="s">
        <v>43</v>
      </c>
      <c r="N160" s="20" t="s">
        <v>285</v>
      </c>
      <c r="O160" s="20" t="str">
        <f>_xlfn.XLOOKUP(N160,players!A:A,players!D:D,"")</f>
        <v>Raeid Choudhury</v>
      </c>
      <c r="P160" s="20" cm="1">
        <f t="array" ref="P160">_xlfn.XLOOKUP(I160&amp;N160,rosterSpots!B:B&amp;rosterSpots!D:D,rosterSpots!E:E,"")</f>
        <v>1</v>
      </c>
      <c r="Q160" s="20">
        <f xml:space="preserve"> (playerGameStats!$R160 * 2) + (playerGameStats!$S160 * 3) + (playerGameStats!$T160)</f>
        <v>6</v>
      </c>
      <c r="R160" s="20">
        <v>0</v>
      </c>
      <c r="S160" s="20">
        <v>2</v>
      </c>
      <c r="T160" s="20">
        <v>0</v>
      </c>
      <c r="U160" s="23">
        <v>0</v>
      </c>
    </row>
    <row r="161" spans="1:21" x14ac:dyDescent="0.25">
      <c r="A161" s="14" t="s">
        <v>342</v>
      </c>
      <c r="B161" s="15">
        <v>2026</v>
      </c>
      <c r="C161" s="15" t="s">
        <v>36</v>
      </c>
      <c r="D161" s="15">
        <v>3</v>
      </c>
      <c r="E161" s="16">
        <v>46132</v>
      </c>
      <c r="F161" s="17">
        <v>0.77083333333333337</v>
      </c>
      <c r="G161" s="15" t="s">
        <v>18</v>
      </c>
      <c r="H161" s="15" t="s">
        <v>310</v>
      </c>
      <c r="I161" s="15" t="s">
        <v>301</v>
      </c>
      <c r="J161" s="15" t="s">
        <v>17</v>
      </c>
      <c r="K161" s="15" t="s">
        <v>49</v>
      </c>
      <c r="L161" s="15" t="s">
        <v>14</v>
      </c>
      <c r="M161" s="15" t="s">
        <v>43</v>
      </c>
      <c r="N161" s="15" t="s">
        <v>284</v>
      </c>
      <c r="O161" s="15" t="str">
        <f>_xlfn.XLOOKUP(N161,players!A:A,players!D:D,"")</f>
        <v>Ebrahim Mohamed</v>
      </c>
      <c r="P161" s="15" cm="1">
        <f t="array" ref="P161">_xlfn.XLOOKUP(I161&amp;N161,rosterSpots!B:B&amp;rosterSpots!D:D,rosterSpots!E:E,"")</f>
        <v>9</v>
      </c>
      <c r="Q161" s="15">
        <f xml:space="preserve"> (playerGameStats!$R161 * 2) + (playerGameStats!$S161 * 3) + (playerGameStats!$T161)</f>
        <v>2</v>
      </c>
      <c r="R161" s="15">
        <v>1</v>
      </c>
      <c r="S161" s="15">
        <v>0</v>
      </c>
      <c r="T161" s="15">
        <v>0</v>
      </c>
      <c r="U161" s="18">
        <v>0</v>
      </c>
    </row>
    <row r="162" spans="1:21" x14ac:dyDescent="0.25">
      <c r="A162" s="19" t="s">
        <v>342</v>
      </c>
      <c r="B162" s="20">
        <v>2026</v>
      </c>
      <c r="C162" s="20" t="s">
        <v>36</v>
      </c>
      <c r="D162" s="20">
        <v>3</v>
      </c>
      <c r="E162" s="21">
        <v>46132</v>
      </c>
      <c r="F162" s="22">
        <v>0.77083333333333337</v>
      </c>
      <c r="G162" s="20" t="s">
        <v>18</v>
      </c>
      <c r="H162" s="20" t="s">
        <v>310</v>
      </c>
      <c r="I162" s="20" t="s">
        <v>301</v>
      </c>
      <c r="J162" s="20" t="s">
        <v>17</v>
      </c>
      <c r="K162" s="20" t="s">
        <v>49</v>
      </c>
      <c r="L162" s="20" t="s">
        <v>14</v>
      </c>
      <c r="M162" s="20" t="s">
        <v>43</v>
      </c>
      <c r="N162" s="20" t="s">
        <v>288</v>
      </c>
      <c r="O162" s="20" t="str">
        <f>_xlfn.XLOOKUP(N162,players!A:A,players!D:D,"")</f>
        <v>Vanardo Banks</v>
      </c>
      <c r="P162" s="20" cm="1">
        <f t="array" ref="P162">_xlfn.XLOOKUP(I162&amp;N162,rosterSpots!B:B&amp;rosterSpots!D:D,rosterSpots!E:E,"")</f>
        <v>10</v>
      </c>
      <c r="Q162" s="20">
        <f xml:space="preserve"> (playerGameStats!$R162 * 2) + (playerGameStats!$S162 * 3) + (playerGameStats!$T162)</f>
        <v>6</v>
      </c>
      <c r="R162" s="20">
        <v>3</v>
      </c>
      <c r="S162" s="20">
        <v>0</v>
      </c>
      <c r="T162" s="20">
        <v>0</v>
      </c>
      <c r="U162" s="23">
        <v>0</v>
      </c>
    </row>
    <row r="163" spans="1:21" x14ac:dyDescent="0.25">
      <c r="A163" s="14" t="s">
        <v>342</v>
      </c>
      <c r="B163" s="15">
        <v>2026</v>
      </c>
      <c r="C163" s="15" t="s">
        <v>36</v>
      </c>
      <c r="D163" s="15">
        <v>3</v>
      </c>
      <c r="E163" s="16">
        <v>46132</v>
      </c>
      <c r="F163" s="17">
        <v>0.77083333333333337</v>
      </c>
      <c r="G163" s="15" t="s">
        <v>18</v>
      </c>
      <c r="H163" s="15" t="s">
        <v>310</v>
      </c>
      <c r="I163" s="15" t="s">
        <v>301</v>
      </c>
      <c r="J163" s="15" t="s">
        <v>17</v>
      </c>
      <c r="K163" s="15" t="s">
        <v>49</v>
      </c>
      <c r="L163" s="15" t="s">
        <v>14</v>
      </c>
      <c r="M163" s="15" t="s">
        <v>43</v>
      </c>
      <c r="N163" s="15" t="s">
        <v>283</v>
      </c>
      <c r="O163" s="15" t="str">
        <f>_xlfn.XLOOKUP(N163,players!A:A,players!D:D,"")</f>
        <v>Jordan Williams</v>
      </c>
      <c r="P163" s="15" cm="1">
        <f t="array" ref="P163">_xlfn.XLOOKUP(I163&amp;N163,rosterSpots!B:B&amp;rosterSpots!D:D,rosterSpots!E:E,"")</f>
        <v>15</v>
      </c>
      <c r="Q163" s="15">
        <f xml:space="preserve"> (playerGameStats!$R163 * 2) + (playerGameStats!$S163 * 3) + (playerGameStats!$T163)</f>
        <v>10</v>
      </c>
      <c r="R163" s="15">
        <v>5</v>
      </c>
      <c r="S163" s="15">
        <v>0</v>
      </c>
      <c r="T163" s="15">
        <v>0</v>
      </c>
      <c r="U163" s="18">
        <v>2</v>
      </c>
    </row>
    <row r="164" spans="1:21" x14ac:dyDescent="0.25">
      <c r="A164" s="19" t="s">
        <v>342</v>
      </c>
      <c r="B164" s="20">
        <v>2026</v>
      </c>
      <c r="C164" s="20" t="s">
        <v>36</v>
      </c>
      <c r="D164" s="20">
        <v>3</v>
      </c>
      <c r="E164" s="21">
        <v>46132</v>
      </c>
      <c r="F164" s="22">
        <v>0.77083333333333337</v>
      </c>
      <c r="G164" s="20" t="s">
        <v>18</v>
      </c>
      <c r="H164" s="20" t="s">
        <v>310</v>
      </c>
      <c r="I164" s="20" t="s">
        <v>301</v>
      </c>
      <c r="J164" s="20" t="s">
        <v>17</v>
      </c>
      <c r="K164" s="20" t="s">
        <v>49</v>
      </c>
      <c r="L164" s="20" t="s">
        <v>14</v>
      </c>
      <c r="M164" s="20" t="s">
        <v>43</v>
      </c>
      <c r="N164" s="20" t="s">
        <v>289</v>
      </c>
      <c r="O164" s="20" t="str">
        <f>_xlfn.XLOOKUP(N164,players!A:A,players!D:D,"")</f>
        <v>Sean McAndrew</v>
      </c>
      <c r="P164" s="20" cm="1">
        <f t="array" ref="P164">_xlfn.XLOOKUP(I164&amp;N164,rosterSpots!B:B&amp;rosterSpots!D:D,rosterSpots!E:E,"")</f>
        <v>21</v>
      </c>
      <c r="Q164" s="20">
        <f xml:space="preserve"> (playerGameStats!$R164 * 2) + (playerGameStats!$S164 * 3) + (playerGameStats!$T164)</f>
        <v>7</v>
      </c>
      <c r="R164" s="20">
        <v>3</v>
      </c>
      <c r="S164" s="20">
        <v>0</v>
      </c>
      <c r="T164" s="20">
        <v>1</v>
      </c>
      <c r="U164" s="23">
        <v>3</v>
      </c>
    </row>
    <row r="165" spans="1:21" x14ac:dyDescent="0.25">
      <c r="A165" s="14" t="s">
        <v>342</v>
      </c>
      <c r="B165" s="15">
        <v>2026</v>
      </c>
      <c r="C165" s="15" t="s">
        <v>36</v>
      </c>
      <c r="D165" s="15">
        <v>3</v>
      </c>
      <c r="E165" s="16">
        <v>46132</v>
      </c>
      <c r="F165" s="17">
        <v>0.77083333333333337</v>
      </c>
      <c r="G165" s="15" t="s">
        <v>18</v>
      </c>
      <c r="H165" s="15" t="s">
        <v>310</v>
      </c>
      <c r="I165" s="15" t="s">
        <v>301</v>
      </c>
      <c r="J165" s="15" t="s">
        <v>17</v>
      </c>
      <c r="K165" s="15" t="s">
        <v>49</v>
      </c>
      <c r="L165" s="15" t="s">
        <v>14</v>
      </c>
      <c r="M165" s="15" t="s">
        <v>43</v>
      </c>
      <c r="N165" s="15" t="s">
        <v>291</v>
      </c>
      <c r="O165" s="15" t="str">
        <f>_xlfn.XLOOKUP(N165,players!A:A,players!D:D,"")</f>
        <v>Nkenna Opara</v>
      </c>
      <c r="P165" s="15" cm="1">
        <f t="array" ref="P165">_xlfn.XLOOKUP(I165&amp;N165,rosterSpots!B:B&amp;rosterSpots!D:D,rosterSpots!E:E,"")</f>
        <v>23</v>
      </c>
      <c r="Q165" s="15">
        <f xml:space="preserve"> (playerGameStats!$R165 * 2) + (playerGameStats!$S165 * 3) + (playerGameStats!$T165)</f>
        <v>1</v>
      </c>
      <c r="R165" s="15">
        <v>0</v>
      </c>
      <c r="S165" s="15">
        <v>0</v>
      </c>
      <c r="T165" s="15">
        <v>1</v>
      </c>
      <c r="U165" s="18">
        <v>2</v>
      </c>
    </row>
    <row r="166" spans="1:21" x14ac:dyDescent="0.25">
      <c r="A166" s="19" t="s">
        <v>341</v>
      </c>
      <c r="B166" s="20">
        <v>2026</v>
      </c>
      <c r="C166" s="20" t="s">
        <v>36</v>
      </c>
      <c r="D166" s="20">
        <v>3</v>
      </c>
      <c r="E166" s="21">
        <v>46132</v>
      </c>
      <c r="F166" s="22">
        <v>0.8125</v>
      </c>
      <c r="G166" s="20" t="s">
        <v>18</v>
      </c>
      <c r="H166" s="20" t="s">
        <v>310</v>
      </c>
      <c r="I166" s="20" t="s">
        <v>300</v>
      </c>
      <c r="J166" s="20" t="s">
        <v>16</v>
      </c>
      <c r="K166" s="20" t="s">
        <v>44</v>
      </c>
      <c r="L166" s="20" t="s">
        <v>15</v>
      </c>
      <c r="M166" s="20" t="s">
        <v>48</v>
      </c>
      <c r="N166" s="20" t="s">
        <v>277</v>
      </c>
      <c r="O166" s="20" t="str">
        <f>_xlfn.XLOOKUP(N166,players!A:A,players!D:D,"")</f>
        <v>Kevin Carroll</v>
      </c>
      <c r="P166" s="20" cm="1">
        <f t="array" ref="P166">_xlfn.XLOOKUP(I166&amp;N166,rosterSpots!B:B&amp;rosterSpots!D:D,rosterSpots!E:E,"")</f>
        <v>2</v>
      </c>
      <c r="Q166" s="20">
        <f xml:space="preserve"> (playerGameStats!$R166 * 2) + (playerGameStats!$S166 * 3) + (playerGameStats!$T166)</f>
        <v>3</v>
      </c>
      <c r="R166" s="20">
        <v>0</v>
      </c>
      <c r="S166" s="20">
        <v>1</v>
      </c>
      <c r="T166" s="20">
        <v>0</v>
      </c>
      <c r="U166" s="23">
        <v>0</v>
      </c>
    </row>
    <row r="167" spans="1:21" x14ac:dyDescent="0.25">
      <c r="A167" s="14" t="s">
        <v>341</v>
      </c>
      <c r="B167" s="15">
        <v>2026</v>
      </c>
      <c r="C167" s="15" t="s">
        <v>36</v>
      </c>
      <c r="D167" s="15">
        <v>3</v>
      </c>
      <c r="E167" s="16">
        <v>46132</v>
      </c>
      <c r="F167" s="17">
        <v>0.8125</v>
      </c>
      <c r="G167" s="15" t="s">
        <v>18</v>
      </c>
      <c r="H167" s="15" t="s">
        <v>310</v>
      </c>
      <c r="I167" s="15" t="s">
        <v>300</v>
      </c>
      <c r="J167" s="15" t="s">
        <v>16</v>
      </c>
      <c r="K167" s="15" t="s">
        <v>44</v>
      </c>
      <c r="L167" s="15" t="s">
        <v>15</v>
      </c>
      <c r="M167" s="15" t="s">
        <v>48</v>
      </c>
      <c r="N167" s="15" t="s">
        <v>281</v>
      </c>
      <c r="O167" s="15" t="str">
        <f>_xlfn.XLOOKUP(N167,players!A:A,players!D:D,"")</f>
        <v>Tommy Zheng</v>
      </c>
      <c r="P167" s="15" cm="1">
        <f t="array" ref="P167">_xlfn.XLOOKUP(I167&amp;N167,rosterSpots!B:B&amp;rosterSpots!D:D,rosterSpots!E:E,"")</f>
        <v>5</v>
      </c>
      <c r="Q167" s="15">
        <f xml:space="preserve"> (playerGameStats!$R167 * 2) + (playerGameStats!$S167 * 3) + (playerGameStats!$T167)</f>
        <v>3</v>
      </c>
      <c r="R167" s="15">
        <v>1</v>
      </c>
      <c r="S167" s="15">
        <v>0</v>
      </c>
      <c r="T167" s="15">
        <v>1</v>
      </c>
      <c r="U167" s="18">
        <v>2</v>
      </c>
    </row>
    <row r="168" spans="1:21" x14ac:dyDescent="0.25">
      <c r="A168" s="19" t="s">
        <v>341</v>
      </c>
      <c r="B168" s="20">
        <v>2026</v>
      </c>
      <c r="C168" s="20" t="s">
        <v>36</v>
      </c>
      <c r="D168" s="20">
        <v>3</v>
      </c>
      <c r="E168" s="21">
        <v>46132</v>
      </c>
      <c r="F168" s="22">
        <v>0.8125</v>
      </c>
      <c r="G168" s="20" t="s">
        <v>18</v>
      </c>
      <c r="H168" s="20" t="s">
        <v>310</v>
      </c>
      <c r="I168" s="20" t="s">
        <v>300</v>
      </c>
      <c r="J168" s="20" t="s">
        <v>16</v>
      </c>
      <c r="K168" s="20" t="s">
        <v>44</v>
      </c>
      <c r="L168" s="20" t="s">
        <v>15</v>
      </c>
      <c r="M168" s="20" t="s">
        <v>48</v>
      </c>
      <c r="N168" s="20" t="s">
        <v>276</v>
      </c>
      <c r="O168" s="20" t="str">
        <f>_xlfn.XLOOKUP(N168,players!A:A,players!D:D,"")</f>
        <v>Matt Kasper</v>
      </c>
      <c r="P168" s="20" cm="1">
        <f t="array" ref="P168">_xlfn.XLOOKUP(I168&amp;N168,rosterSpots!B:B&amp;rosterSpots!D:D,rosterSpots!E:E,"")</f>
        <v>7</v>
      </c>
      <c r="Q168" s="20">
        <f xml:space="preserve"> (playerGameStats!$R168 * 2) + (playerGameStats!$S168 * 3) + (playerGameStats!$T168)</f>
        <v>4</v>
      </c>
      <c r="R168" s="20">
        <v>2</v>
      </c>
      <c r="S168" s="20">
        <v>0</v>
      </c>
      <c r="T168" s="20">
        <v>0</v>
      </c>
      <c r="U168" s="23">
        <v>2</v>
      </c>
    </row>
    <row r="169" spans="1:21" x14ac:dyDescent="0.25">
      <c r="A169" s="14" t="s">
        <v>341</v>
      </c>
      <c r="B169" s="15">
        <v>2026</v>
      </c>
      <c r="C169" s="15" t="s">
        <v>36</v>
      </c>
      <c r="D169" s="15">
        <v>3</v>
      </c>
      <c r="E169" s="16">
        <v>46132</v>
      </c>
      <c r="F169" s="17">
        <v>0.8125</v>
      </c>
      <c r="G169" s="15" t="s">
        <v>18</v>
      </c>
      <c r="H169" s="15" t="s">
        <v>310</v>
      </c>
      <c r="I169" s="15" t="s">
        <v>300</v>
      </c>
      <c r="J169" s="15" t="s">
        <v>16</v>
      </c>
      <c r="K169" s="15" t="s">
        <v>44</v>
      </c>
      <c r="L169" s="15" t="s">
        <v>15</v>
      </c>
      <c r="M169" s="15" t="s">
        <v>48</v>
      </c>
      <c r="N169" s="15" t="s">
        <v>278</v>
      </c>
      <c r="O169" s="15" t="str">
        <f>_xlfn.XLOOKUP(N169,players!A:A,players!D:D,"")</f>
        <v>Douglas Alexander</v>
      </c>
      <c r="P169" s="15" cm="1">
        <f t="array" ref="P169">_xlfn.XLOOKUP(I169&amp;N169,rosterSpots!B:B&amp;rosterSpots!D:D,rosterSpots!E:E,"")</f>
        <v>10</v>
      </c>
      <c r="Q169" s="15">
        <f xml:space="preserve"> (playerGameStats!$R169 * 2) + (playerGameStats!$S169 * 3) + (playerGameStats!$T169)</f>
        <v>9</v>
      </c>
      <c r="R169" s="15">
        <v>4</v>
      </c>
      <c r="S169" s="15">
        <v>0</v>
      </c>
      <c r="T169" s="15">
        <v>1</v>
      </c>
      <c r="U169" s="18">
        <v>2</v>
      </c>
    </row>
    <row r="170" spans="1:21" x14ac:dyDescent="0.25">
      <c r="A170" s="19" t="s">
        <v>341</v>
      </c>
      <c r="B170" s="20">
        <v>2026</v>
      </c>
      <c r="C170" s="20" t="s">
        <v>36</v>
      </c>
      <c r="D170" s="20">
        <v>3</v>
      </c>
      <c r="E170" s="21">
        <v>46132</v>
      </c>
      <c r="F170" s="22">
        <v>0.8125</v>
      </c>
      <c r="G170" s="20" t="s">
        <v>18</v>
      </c>
      <c r="H170" s="20" t="s">
        <v>310</v>
      </c>
      <c r="I170" s="20" t="s">
        <v>300</v>
      </c>
      <c r="J170" s="20" t="s">
        <v>16</v>
      </c>
      <c r="K170" s="20" t="s">
        <v>44</v>
      </c>
      <c r="L170" s="20" t="s">
        <v>15</v>
      </c>
      <c r="M170" s="20" t="s">
        <v>48</v>
      </c>
      <c r="N170" s="20" t="s">
        <v>282</v>
      </c>
      <c r="O170" s="20" t="str">
        <f>_xlfn.XLOOKUP(N170,players!A:A,players!D:D,"")</f>
        <v>Guillermo Jacquez</v>
      </c>
      <c r="P170" s="20" cm="1">
        <f t="array" ref="P170">_xlfn.XLOOKUP(I170&amp;N170,rosterSpots!B:B&amp;rosterSpots!D:D,rosterSpots!E:E,"")</f>
        <v>13</v>
      </c>
      <c r="Q170" s="20">
        <f xml:space="preserve"> (playerGameStats!$R170 * 2) + (playerGameStats!$S170 * 3) + (playerGameStats!$T170)</f>
        <v>15</v>
      </c>
      <c r="R170" s="20">
        <v>2</v>
      </c>
      <c r="S170" s="20">
        <v>3</v>
      </c>
      <c r="T170" s="20">
        <v>2</v>
      </c>
      <c r="U170" s="23">
        <v>5</v>
      </c>
    </row>
    <row r="171" spans="1:21" x14ac:dyDescent="0.25">
      <c r="A171" s="14" t="s">
        <v>341</v>
      </c>
      <c r="B171" s="15">
        <v>2026</v>
      </c>
      <c r="C171" s="15" t="s">
        <v>36</v>
      </c>
      <c r="D171" s="15">
        <v>3</v>
      </c>
      <c r="E171" s="16">
        <v>46132</v>
      </c>
      <c r="F171" s="17">
        <v>0.8125</v>
      </c>
      <c r="G171" s="15" t="s">
        <v>18</v>
      </c>
      <c r="H171" s="15" t="s">
        <v>310</v>
      </c>
      <c r="I171" s="15" t="s">
        <v>300</v>
      </c>
      <c r="J171" s="15" t="s">
        <v>16</v>
      </c>
      <c r="K171" s="15" t="s">
        <v>44</v>
      </c>
      <c r="L171" s="15" t="s">
        <v>15</v>
      </c>
      <c r="M171" s="15" t="s">
        <v>48</v>
      </c>
      <c r="N171" s="15" t="s">
        <v>274</v>
      </c>
      <c r="O171" s="15" t="str">
        <f>_xlfn.XLOOKUP(N171,players!A:A,players!D:D,"")</f>
        <v>David Hays</v>
      </c>
      <c r="P171" s="15" cm="1">
        <f t="array" ref="P171">_xlfn.XLOOKUP(I171&amp;N171,rosterSpots!B:B&amp;rosterSpots!D:D,rosterSpots!E:E,"")</f>
        <v>17</v>
      </c>
      <c r="Q171" s="15">
        <f xml:space="preserve"> (playerGameStats!$R171 * 2) + (playerGameStats!$S171 * 3) + (playerGameStats!$T171)</f>
        <v>0</v>
      </c>
      <c r="R171" s="15">
        <v>0</v>
      </c>
      <c r="S171" s="15">
        <v>0</v>
      </c>
      <c r="T171" s="15">
        <v>0</v>
      </c>
      <c r="U171" s="18">
        <v>0</v>
      </c>
    </row>
    <row r="172" spans="1:21" x14ac:dyDescent="0.25">
      <c r="A172" s="19" t="s">
        <v>341</v>
      </c>
      <c r="B172" s="20">
        <v>2026</v>
      </c>
      <c r="C172" s="20" t="s">
        <v>36</v>
      </c>
      <c r="D172" s="20">
        <v>3</v>
      </c>
      <c r="E172" s="21">
        <v>46132</v>
      </c>
      <c r="F172" s="22">
        <v>0.8125</v>
      </c>
      <c r="G172" s="20" t="s">
        <v>18</v>
      </c>
      <c r="H172" s="20" t="s">
        <v>310</v>
      </c>
      <c r="I172" s="20" t="s">
        <v>300</v>
      </c>
      <c r="J172" s="20" t="s">
        <v>16</v>
      </c>
      <c r="K172" s="20" t="s">
        <v>44</v>
      </c>
      <c r="L172" s="20" t="s">
        <v>15</v>
      </c>
      <c r="M172" s="20" t="s">
        <v>48</v>
      </c>
      <c r="N172" s="20" t="s">
        <v>280</v>
      </c>
      <c r="O172" s="20" t="str">
        <f>_xlfn.XLOOKUP(N172,players!A:A,players!D:D,"")</f>
        <v>Russel Verceles</v>
      </c>
      <c r="P172" s="20" cm="1">
        <f t="array" ref="P172">_xlfn.XLOOKUP(I172&amp;N172,rosterSpots!B:B&amp;rosterSpots!D:D,rosterSpots!E:E,"")</f>
        <v>32</v>
      </c>
      <c r="Q172" s="20">
        <f xml:space="preserve"> (playerGameStats!$R172 * 2) + (playerGameStats!$S172 * 3) + (playerGameStats!$T172)</f>
        <v>8</v>
      </c>
      <c r="R172" s="20">
        <v>4</v>
      </c>
      <c r="S172" s="20">
        <v>0</v>
      </c>
      <c r="T172" s="20">
        <v>0</v>
      </c>
      <c r="U172" s="23">
        <v>0</v>
      </c>
    </row>
    <row r="173" spans="1:21" x14ac:dyDescent="0.25">
      <c r="A173" s="14" t="s">
        <v>341</v>
      </c>
      <c r="B173" s="15">
        <v>2026</v>
      </c>
      <c r="C173" s="15" t="s">
        <v>36</v>
      </c>
      <c r="D173" s="15">
        <v>3</v>
      </c>
      <c r="E173" s="16">
        <v>46132</v>
      </c>
      <c r="F173" s="17">
        <v>0.8125</v>
      </c>
      <c r="G173" s="15" t="s">
        <v>18</v>
      </c>
      <c r="H173" s="15" t="s">
        <v>310</v>
      </c>
      <c r="I173" s="15" t="s">
        <v>296</v>
      </c>
      <c r="J173" s="15" t="s">
        <v>15</v>
      </c>
      <c r="K173" s="15" t="s">
        <v>48</v>
      </c>
      <c r="L173" s="15" t="s">
        <v>16</v>
      </c>
      <c r="M173" s="15" t="s">
        <v>44</v>
      </c>
      <c r="N173" s="15" t="s">
        <v>238</v>
      </c>
      <c r="O173" s="15" t="str">
        <f>_xlfn.XLOOKUP(N173,players!A:A,players!D:D,"")</f>
        <v>Derin Sweeney</v>
      </c>
      <c r="P173" s="15" cm="1">
        <f t="array" ref="P173">_xlfn.XLOOKUP(I173&amp;N173,rosterSpots!B:B&amp;rosterSpots!D:D,rosterSpots!E:E,"")</f>
        <v>0</v>
      </c>
      <c r="Q173" s="15">
        <f xml:space="preserve"> (playerGameStats!$R173 * 2) + (playerGameStats!$S173 * 3) + (playerGameStats!$T173)</f>
        <v>15</v>
      </c>
      <c r="R173" s="15">
        <v>0</v>
      </c>
      <c r="S173" s="15">
        <v>4</v>
      </c>
      <c r="T173" s="15">
        <v>3</v>
      </c>
      <c r="U173" s="18">
        <v>3</v>
      </c>
    </row>
    <row r="174" spans="1:21" x14ac:dyDescent="0.25">
      <c r="A174" s="19" t="s">
        <v>341</v>
      </c>
      <c r="B174" s="20">
        <v>2026</v>
      </c>
      <c r="C174" s="20" t="s">
        <v>36</v>
      </c>
      <c r="D174" s="20">
        <v>3</v>
      </c>
      <c r="E174" s="21">
        <v>46132</v>
      </c>
      <c r="F174" s="22">
        <v>0.8125</v>
      </c>
      <c r="G174" s="20" t="s">
        <v>18</v>
      </c>
      <c r="H174" s="20" t="s">
        <v>310</v>
      </c>
      <c r="I174" s="20" t="s">
        <v>296</v>
      </c>
      <c r="J174" s="20" t="s">
        <v>15</v>
      </c>
      <c r="K174" s="20" t="s">
        <v>48</v>
      </c>
      <c r="L174" s="20" t="s">
        <v>16</v>
      </c>
      <c r="M174" s="20" t="s">
        <v>44</v>
      </c>
      <c r="N174" s="20" t="s">
        <v>243</v>
      </c>
      <c r="O174" s="20" t="str">
        <f>_xlfn.XLOOKUP(N174,players!A:A,players!D:D,"")</f>
        <v>Donald Owens</v>
      </c>
      <c r="P174" s="20" cm="1">
        <f t="array" ref="P174">_xlfn.XLOOKUP(I174&amp;N174,rosterSpots!B:B&amp;rosterSpots!D:D,rosterSpots!E:E,"")</f>
        <v>11</v>
      </c>
      <c r="Q174" s="20">
        <f xml:space="preserve"> (playerGameStats!$R174 * 2) + (playerGameStats!$S174 * 3) + (playerGameStats!$T174)</f>
        <v>3</v>
      </c>
      <c r="R174" s="20">
        <v>0</v>
      </c>
      <c r="S174" s="20">
        <v>1</v>
      </c>
      <c r="T174" s="20">
        <v>0</v>
      </c>
      <c r="U174" s="23">
        <v>0</v>
      </c>
    </row>
    <row r="175" spans="1:21" x14ac:dyDescent="0.25">
      <c r="A175" s="14" t="s">
        <v>341</v>
      </c>
      <c r="B175" s="15">
        <v>2026</v>
      </c>
      <c r="C175" s="15" t="s">
        <v>36</v>
      </c>
      <c r="D175" s="15">
        <v>3</v>
      </c>
      <c r="E175" s="16">
        <v>46132</v>
      </c>
      <c r="F175" s="17">
        <v>0.8125</v>
      </c>
      <c r="G175" s="15" t="s">
        <v>18</v>
      </c>
      <c r="H175" s="15" t="s">
        <v>310</v>
      </c>
      <c r="I175" s="15" t="s">
        <v>296</v>
      </c>
      <c r="J175" s="15" t="s">
        <v>15</v>
      </c>
      <c r="K175" s="15" t="s">
        <v>48</v>
      </c>
      <c r="L175" s="15" t="s">
        <v>16</v>
      </c>
      <c r="M175" s="15" t="s">
        <v>44</v>
      </c>
      <c r="N175" s="15" t="s">
        <v>237</v>
      </c>
      <c r="O175" s="15" t="str">
        <f>_xlfn.XLOOKUP(N175,players!A:A,players!D:D,"")</f>
        <v>Zach Rollman</v>
      </c>
      <c r="P175" s="15" cm="1">
        <f t="array" ref="P175">_xlfn.XLOOKUP(I175&amp;N175,rosterSpots!B:B&amp;rosterSpots!D:D,rosterSpots!E:E,"")</f>
        <v>13</v>
      </c>
      <c r="Q175" s="15">
        <f xml:space="preserve"> (playerGameStats!$R175 * 2) + (playerGameStats!$S175 * 3) + (playerGameStats!$T175)</f>
        <v>2</v>
      </c>
      <c r="R175" s="15">
        <v>0</v>
      </c>
      <c r="S175" s="15">
        <v>0</v>
      </c>
      <c r="T175" s="15">
        <v>2</v>
      </c>
      <c r="U175" s="18">
        <v>4</v>
      </c>
    </row>
    <row r="176" spans="1:21" x14ac:dyDescent="0.25">
      <c r="A176" s="19" t="s">
        <v>341</v>
      </c>
      <c r="B176" s="20">
        <v>2026</v>
      </c>
      <c r="C176" s="20" t="s">
        <v>36</v>
      </c>
      <c r="D176" s="20">
        <v>3</v>
      </c>
      <c r="E176" s="21">
        <v>46132</v>
      </c>
      <c r="F176" s="22">
        <v>0.8125</v>
      </c>
      <c r="G176" s="20" t="s">
        <v>18</v>
      </c>
      <c r="H176" s="20" t="s">
        <v>310</v>
      </c>
      <c r="I176" s="20" t="s">
        <v>296</v>
      </c>
      <c r="J176" s="20" t="s">
        <v>15</v>
      </c>
      <c r="K176" s="20" t="s">
        <v>48</v>
      </c>
      <c r="L176" s="20" t="s">
        <v>16</v>
      </c>
      <c r="M176" s="20" t="s">
        <v>44</v>
      </c>
      <c r="N176" s="20" t="s">
        <v>236</v>
      </c>
      <c r="O176" s="20" t="str">
        <f>_xlfn.XLOOKUP(N176,players!A:A,players!D:D,"")</f>
        <v>Jeff Savage</v>
      </c>
      <c r="P176" s="20" cm="1">
        <f t="array" ref="P176">_xlfn.XLOOKUP(I176&amp;N176,rosterSpots!B:B&amp;rosterSpots!D:D,rosterSpots!E:E,"")</f>
        <v>14</v>
      </c>
      <c r="Q176" s="20">
        <f xml:space="preserve"> (playerGameStats!$R176 * 2) + (playerGameStats!$S176 * 3) + (playerGameStats!$T176)</f>
        <v>6</v>
      </c>
      <c r="R176" s="20">
        <v>0</v>
      </c>
      <c r="S176" s="20">
        <v>2</v>
      </c>
      <c r="T176" s="20">
        <v>0</v>
      </c>
      <c r="U176" s="23">
        <v>0</v>
      </c>
    </row>
    <row r="177" spans="1:21" x14ac:dyDescent="0.25">
      <c r="A177" s="14" t="s">
        <v>341</v>
      </c>
      <c r="B177" s="15">
        <v>2026</v>
      </c>
      <c r="C177" s="15" t="s">
        <v>36</v>
      </c>
      <c r="D177" s="15">
        <v>3</v>
      </c>
      <c r="E177" s="16">
        <v>46132</v>
      </c>
      <c r="F177" s="17">
        <v>0.8125</v>
      </c>
      <c r="G177" s="15" t="s">
        <v>18</v>
      </c>
      <c r="H177" s="15" t="s">
        <v>310</v>
      </c>
      <c r="I177" s="15" t="s">
        <v>296</v>
      </c>
      <c r="J177" s="15" t="s">
        <v>15</v>
      </c>
      <c r="K177" s="15" t="s">
        <v>48</v>
      </c>
      <c r="L177" s="15" t="s">
        <v>16</v>
      </c>
      <c r="M177" s="15" t="s">
        <v>44</v>
      </c>
      <c r="N177" s="15" t="s">
        <v>241</v>
      </c>
      <c r="O177" s="15" t="str">
        <f>_xlfn.XLOOKUP(N177,players!A:A,players!D:D,"")</f>
        <v>Brian Clemens</v>
      </c>
      <c r="P177" s="15" cm="1">
        <f t="array" ref="P177">_xlfn.XLOOKUP(I177&amp;N177,rosterSpots!B:B&amp;rosterSpots!D:D,rosterSpots!E:E,"")</f>
        <v>17</v>
      </c>
      <c r="Q177" s="15">
        <f xml:space="preserve"> (playerGameStats!$R177 * 2) + (playerGameStats!$S177 * 3) + (playerGameStats!$T177)</f>
        <v>3</v>
      </c>
      <c r="R177" s="15">
        <v>0</v>
      </c>
      <c r="S177" s="15">
        <v>1</v>
      </c>
      <c r="T177" s="15">
        <v>0</v>
      </c>
      <c r="U177" s="18">
        <v>0</v>
      </c>
    </row>
    <row r="178" spans="1:21" x14ac:dyDescent="0.25">
      <c r="A178" s="19" t="s">
        <v>341</v>
      </c>
      <c r="B178" s="20">
        <v>2026</v>
      </c>
      <c r="C178" s="20" t="s">
        <v>36</v>
      </c>
      <c r="D178" s="20">
        <v>3</v>
      </c>
      <c r="E178" s="21">
        <v>46132</v>
      </c>
      <c r="F178" s="22">
        <v>0.8125</v>
      </c>
      <c r="G178" s="20" t="s">
        <v>18</v>
      </c>
      <c r="H178" s="20" t="s">
        <v>310</v>
      </c>
      <c r="I178" s="20" t="s">
        <v>296</v>
      </c>
      <c r="J178" s="20" t="s">
        <v>15</v>
      </c>
      <c r="K178" s="20" t="s">
        <v>48</v>
      </c>
      <c r="L178" s="20" t="s">
        <v>16</v>
      </c>
      <c r="M178" s="20" t="s">
        <v>44</v>
      </c>
      <c r="N178" s="20" t="s">
        <v>242</v>
      </c>
      <c r="O178" s="20" t="str">
        <f>_xlfn.XLOOKUP(N178,players!A:A,players!D:D,"")</f>
        <v>Jordan Wilcox</v>
      </c>
      <c r="P178" s="20" cm="1">
        <f t="array" ref="P178">_xlfn.XLOOKUP(I178&amp;N178,rosterSpots!B:B&amp;rosterSpots!D:D,rosterSpots!E:E,"")</f>
        <v>24</v>
      </c>
      <c r="Q178" s="20">
        <f xml:space="preserve"> (playerGameStats!$R178 * 2) + (playerGameStats!$S178 * 3) + (playerGameStats!$T178)</f>
        <v>14</v>
      </c>
      <c r="R178" s="20">
        <v>6</v>
      </c>
      <c r="S178" s="20">
        <v>0</v>
      </c>
      <c r="T178" s="20">
        <v>2</v>
      </c>
      <c r="U178" s="23">
        <v>3</v>
      </c>
    </row>
    <row r="179" spans="1:21" x14ac:dyDescent="0.25">
      <c r="A179" s="14" t="s">
        <v>341</v>
      </c>
      <c r="B179" s="15">
        <v>2026</v>
      </c>
      <c r="C179" s="15" t="s">
        <v>36</v>
      </c>
      <c r="D179" s="15">
        <v>3</v>
      </c>
      <c r="E179" s="16">
        <v>46132</v>
      </c>
      <c r="F179" s="17">
        <v>0.8125</v>
      </c>
      <c r="G179" s="15" t="s">
        <v>18</v>
      </c>
      <c r="H179" s="15" t="s">
        <v>310</v>
      </c>
      <c r="I179" s="15" t="s">
        <v>296</v>
      </c>
      <c r="J179" s="15" t="s">
        <v>15</v>
      </c>
      <c r="K179" s="15" t="s">
        <v>48</v>
      </c>
      <c r="L179" s="15" t="s">
        <v>16</v>
      </c>
      <c r="M179" s="15" t="s">
        <v>44</v>
      </c>
      <c r="N179" s="15" t="s">
        <v>239</v>
      </c>
      <c r="O179" s="15" t="str">
        <f>_xlfn.XLOOKUP(N179,players!A:A,players!D:D,"")</f>
        <v>Hakim Jackson</v>
      </c>
      <c r="P179" s="15" cm="1">
        <f t="array" ref="P179">_xlfn.XLOOKUP(I179&amp;N179,rosterSpots!B:B&amp;rosterSpots!D:D,rosterSpots!E:E,"")</f>
        <v>77</v>
      </c>
      <c r="Q179" s="15">
        <f xml:space="preserve"> (playerGameStats!$R179 * 2) + (playerGameStats!$S179 * 3) + (playerGameStats!$T179)</f>
        <v>17</v>
      </c>
      <c r="R179" s="15">
        <v>4</v>
      </c>
      <c r="S179" s="15">
        <v>3</v>
      </c>
      <c r="T179" s="15">
        <v>0</v>
      </c>
      <c r="U179" s="18">
        <v>0</v>
      </c>
    </row>
    <row r="180" spans="1:21" x14ac:dyDescent="0.25">
      <c r="A180" s="19" t="s">
        <v>340</v>
      </c>
      <c r="B180" s="20">
        <v>2026</v>
      </c>
      <c r="C180" s="20" t="s">
        <v>36</v>
      </c>
      <c r="D180" s="20">
        <v>3</v>
      </c>
      <c r="E180" s="21">
        <v>46134</v>
      </c>
      <c r="F180" s="22">
        <v>0.77083333333333337</v>
      </c>
      <c r="G180" s="20" t="s">
        <v>18</v>
      </c>
      <c r="H180" s="20" t="s">
        <v>310</v>
      </c>
      <c r="I180" s="20" t="s">
        <v>295</v>
      </c>
      <c r="J180" s="20" t="s">
        <v>11</v>
      </c>
      <c r="K180" s="20" t="s">
        <v>45</v>
      </c>
      <c r="L180" s="20" t="s">
        <v>13</v>
      </c>
      <c r="M180" s="20" t="s">
        <v>47</v>
      </c>
      <c r="N180" s="20" t="s">
        <v>227</v>
      </c>
      <c r="O180" s="20" t="str">
        <f>_xlfn.XLOOKUP(N180,players!A:A,players!D:D,"")</f>
        <v>Dave Homsher</v>
      </c>
      <c r="P180" s="20" cm="1">
        <f t="array" ref="P180">_xlfn.XLOOKUP(I180&amp;N180,rosterSpots!B:B&amp;rosterSpots!D:D,rosterSpots!E:E,"")</f>
        <v>3</v>
      </c>
      <c r="Q180" s="20">
        <f xml:space="preserve"> (playerGameStats!$R180 * 2) + (playerGameStats!$S180 * 3) + (playerGameStats!$T180)</f>
        <v>23</v>
      </c>
      <c r="R180" s="20">
        <v>2</v>
      </c>
      <c r="S180" s="20">
        <v>5</v>
      </c>
      <c r="T180" s="20">
        <v>4</v>
      </c>
      <c r="U180" s="23">
        <v>5</v>
      </c>
    </row>
    <row r="181" spans="1:21" x14ac:dyDescent="0.25">
      <c r="A181" s="14" t="s">
        <v>340</v>
      </c>
      <c r="B181" s="15">
        <v>2026</v>
      </c>
      <c r="C181" s="15" t="s">
        <v>36</v>
      </c>
      <c r="D181" s="15">
        <v>3</v>
      </c>
      <c r="E181" s="16">
        <v>46134</v>
      </c>
      <c r="F181" s="17">
        <v>0.77083333333333337</v>
      </c>
      <c r="G181" s="15" t="s">
        <v>18</v>
      </c>
      <c r="H181" s="15" t="s">
        <v>310</v>
      </c>
      <c r="I181" s="15" t="s">
        <v>295</v>
      </c>
      <c r="J181" s="15" t="s">
        <v>11</v>
      </c>
      <c r="K181" s="15" t="s">
        <v>45</v>
      </c>
      <c r="L181" s="15" t="s">
        <v>13</v>
      </c>
      <c r="M181" s="15" t="s">
        <v>47</v>
      </c>
      <c r="N181" s="15" t="s">
        <v>230</v>
      </c>
      <c r="O181" s="15" t="str">
        <f>_xlfn.XLOOKUP(N181,players!A:A,players!D:D,"")</f>
        <v>Angel Carrion</v>
      </c>
      <c r="P181" s="15" cm="1">
        <f t="array" ref="P181">_xlfn.XLOOKUP(I181&amp;N181,rosterSpots!B:B&amp;rosterSpots!D:D,rosterSpots!E:E,"")</f>
        <v>7</v>
      </c>
      <c r="Q181" s="15">
        <f xml:space="preserve"> (playerGameStats!$R181 * 2) + (playerGameStats!$S181 * 3) + (playerGameStats!$T181)</f>
        <v>0</v>
      </c>
      <c r="R181" s="15">
        <v>0</v>
      </c>
      <c r="S181" s="15">
        <v>0</v>
      </c>
      <c r="T181" s="15">
        <v>0</v>
      </c>
      <c r="U181" s="18">
        <v>0</v>
      </c>
    </row>
    <row r="182" spans="1:21" x14ac:dyDescent="0.25">
      <c r="A182" s="19" t="s">
        <v>340</v>
      </c>
      <c r="B182" s="20">
        <v>2026</v>
      </c>
      <c r="C182" s="20" t="s">
        <v>36</v>
      </c>
      <c r="D182" s="20">
        <v>3</v>
      </c>
      <c r="E182" s="21">
        <v>46134</v>
      </c>
      <c r="F182" s="22">
        <v>0.77083333333333337</v>
      </c>
      <c r="G182" s="20" t="s">
        <v>18</v>
      </c>
      <c r="H182" s="20" t="s">
        <v>310</v>
      </c>
      <c r="I182" s="20" t="s">
        <v>295</v>
      </c>
      <c r="J182" s="20" t="s">
        <v>11</v>
      </c>
      <c r="K182" s="20" t="s">
        <v>45</v>
      </c>
      <c r="L182" s="20" t="s">
        <v>13</v>
      </c>
      <c r="M182" s="20" t="s">
        <v>47</v>
      </c>
      <c r="N182" s="20" t="s">
        <v>307</v>
      </c>
      <c r="O182" s="20" t="str">
        <f>_xlfn.XLOOKUP(N182,players!A:A,players!D:D,"")</f>
        <v>Thomas Nasto</v>
      </c>
      <c r="P182" s="20" cm="1">
        <f t="array" ref="P182">_xlfn.XLOOKUP(I182&amp;N182,rosterSpots!B:B&amp;rosterSpots!D:D,rosterSpots!E:E,"")</f>
        <v>9</v>
      </c>
      <c r="Q182" s="20">
        <f xml:space="preserve"> (playerGameStats!$R182 * 2) + (playerGameStats!$S182 * 3) + (playerGameStats!$T182)</f>
        <v>5</v>
      </c>
      <c r="R182" s="20">
        <v>2</v>
      </c>
      <c r="S182" s="20">
        <v>0</v>
      </c>
      <c r="T182" s="20">
        <v>1</v>
      </c>
      <c r="U182" s="23">
        <v>2</v>
      </c>
    </row>
    <row r="183" spans="1:21" x14ac:dyDescent="0.25">
      <c r="A183" s="14" t="s">
        <v>340</v>
      </c>
      <c r="B183" s="15">
        <v>2026</v>
      </c>
      <c r="C183" s="15" t="s">
        <v>36</v>
      </c>
      <c r="D183" s="15">
        <v>3</v>
      </c>
      <c r="E183" s="16">
        <v>46134</v>
      </c>
      <c r="F183" s="17">
        <v>0.77083333333333337</v>
      </c>
      <c r="G183" s="15" t="s">
        <v>18</v>
      </c>
      <c r="H183" s="15" t="s">
        <v>310</v>
      </c>
      <c r="I183" s="15" t="s">
        <v>295</v>
      </c>
      <c r="J183" s="15" t="s">
        <v>11</v>
      </c>
      <c r="K183" s="15" t="s">
        <v>45</v>
      </c>
      <c r="L183" s="15" t="s">
        <v>13</v>
      </c>
      <c r="M183" s="15" t="s">
        <v>47</v>
      </c>
      <c r="N183" s="15" t="s">
        <v>228</v>
      </c>
      <c r="O183" s="15" t="str">
        <f>_xlfn.XLOOKUP(N183,players!A:A,players!D:D,"")</f>
        <v>Scott Brusseler</v>
      </c>
      <c r="P183" s="15" cm="1">
        <f t="array" ref="P183">_xlfn.XLOOKUP(I183&amp;N183,rosterSpots!B:B&amp;rosterSpots!D:D,rosterSpots!E:E,"")</f>
        <v>14</v>
      </c>
      <c r="Q183" s="15">
        <f xml:space="preserve"> (playerGameStats!$R183 * 2) + (playerGameStats!$S183 * 3) + (playerGameStats!$T183)</f>
        <v>18</v>
      </c>
      <c r="R183" s="15">
        <v>6</v>
      </c>
      <c r="S183" s="15">
        <v>2</v>
      </c>
      <c r="T183" s="15">
        <v>0</v>
      </c>
      <c r="U183" s="18">
        <v>0</v>
      </c>
    </row>
    <row r="184" spans="1:21" x14ac:dyDescent="0.25">
      <c r="A184" s="19" t="s">
        <v>340</v>
      </c>
      <c r="B184" s="20">
        <v>2026</v>
      </c>
      <c r="C184" s="20" t="s">
        <v>36</v>
      </c>
      <c r="D184" s="20">
        <v>3</v>
      </c>
      <c r="E184" s="21">
        <v>46134</v>
      </c>
      <c r="F184" s="22">
        <v>0.77083333333333337</v>
      </c>
      <c r="G184" s="20" t="s">
        <v>18</v>
      </c>
      <c r="H184" s="20" t="s">
        <v>310</v>
      </c>
      <c r="I184" s="20" t="s">
        <v>295</v>
      </c>
      <c r="J184" s="20" t="s">
        <v>11</v>
      </c>
      <c r="K184" s="20" t="s">
        <v>45</v>
      </c>
      <c r="L184" s="20" t="s">
        <v>13</v>
      </c>
      <c r="M184" s="20" t="s">
        <v>47</v>
      </c>
      <c r="N184" s="20" t="s">
        <v>231</v>
      </c>
      <c r="O184" s="20" t="str">
        <f>_xlfn.XLOOKUP(N184,players!A:A,players!D:D,"")</f>
        <v>Gates Brooks</v>
      </c>
      <c r="P184" s="20" cm="1">
        <f t="array" ref="P184">_xlfn.XLOOKUP(I184&amp;N184,rosterSpots!B:B&amp;rosterSpots!D:D,rosterSpots!E:E,"")</f>
        <v>43</v>
      </c>
      <c r="Q184" s="20">
        <f xml:space="preserve"> (playerGameStats!$R184 * 2) + (playerGameStats!$S184 * 3) + (playerGameStats!$T184)</f>
        <v>0</v>
      </c>
      <c r="R184" s="20">
        <v>0</v>
      </c>
      <c r="S184" s="20">
        <v>0</v>
      </c>
      <c r="T184" s="20">
        <v>0</v>
      </c>
      <c r="U184" s="23">
        <v>0</v>
      </c>
    </row>
    <row r="185" spans="1:21" x14ac:dyDescent="0.25">
      <c r="A185" s="14" t="s">
        <v>340</v>
      </c>
      <c r="B185" s="15">
        <v>2026</v>
      </c>
      <c r="C185" s="15" t="s">
        <v>36</v>
      </c>
      <c r="D185" s="15">
        <v>3</v>
      </c>
      <c r="E185" s="16">
        <v>46134</v>
      </c>
      <c r="F185" s="17">
        <v>0.77083333333333337</v>
      </c>
      <c r="G185" s="15" t="s">
        <v>18</v>
      </c>
      <c r="H185" s="15" t="s">
        <v>310</v>
      </c>
      <c r="I185" s="15" t="s">
        <v>295</v>
      </c>
      <c r="J185" s="15" t="s">
        <v>11</v>
      </c>
      <c r="K185" s="15" t="s">
        <v>45</v>
      </c>
      <c r="L185" s="15" t="s">
        <v>13</v>
      </c>
      <c r="M185" s="15" t="s">
        <v>47</v>
      </c>
      <c r="N185" s="15" t="s">
        <v>229</v>
      </c>
      <c r="O185" s="15" t="str">
        <f>_xlfn.XLOOKUP(N185,players!A:A,players!D:D,"")</f>
        <v>Anthony Shelepets</v>
      </c>
      <c r="P185" s="15" cm="1">
        <f t="array" ref="P185">_xlfn.XLOOKUP(I185&amp;N185,rosterSpots!B:B&amp;rosterSpots!D:D,rosterSpots!E:E,"")</f>
        <v>53</v>
      </c>
      <c r="Q185" s="15">
        <f xml:space="preserve"> (playerGameStats!$R185 * 2) + (playerGameStats!$S185 * 3) + (playerGameStats!$T185)</f>
        <v>19</v>
      </c>
      <c r="R185" s="15">
        <v>8</v>
      </c>
      <c r="S185" s="15">
        <v>0</v>
      </c>
      <c r="T185" s="15">
        <v>3</v>
      </c>
      <c r="U185" s="18">
        <v>3</v>
      </c>
    </row>
    <row r="186" spans="1:21" x14ac:dyDescent="0.25">
      <c r="A186" s="19" t="s">
        <v>340</v>
      </c>
      <c r="B186" s="20">
        <v>2026</v>
      </c>
      <c r="C186" s="20" t="s">
        <v>36</v>
      </c>
      <c r="D186" s="20">
        <v>3</v>
      </c>
      <c r="E186" s="21">
        <v>46134</v>
      </c>
      <c r="F186" s="22">
        <v>0.77083333333333337</v>
      </c>
      <c r="G186" s="20" t="s">
        <v>18</v>
      </c>
      <c r="H186" s="20" t="s">
        <v>310</v>
      </c>
      <c r="I186" s="20" t="s">
        <v>297</v>
      </c>
      <c r="J186" s="20" t="s">
        <v>13</v>
      </c>
      <c r="K186" s="20" t="s">
        <v>47</v>
      </c>
      <c r="L186" s="20" t="s">
        <v>11</v>
      </c>
      <c r="M186" s="20" t="s">
        <v>45</v>
      </c>
      <c r="N186" s="20" t="s">
        <v>249</v>
      </c>
      <c r="O186" s="20" t="str">
        <f>_xlfn.XLOOKUP(N186,players!A:A,players!D:D,"")</f>
        <v>Chris Ellis</v>
      </c>
      <c r="P186" s="20" cm="1">
        <f t="array" ref="P186">_xlfn.XLOOKUP(I186&amp;N186,rosterSpots!B:B&amp;rosterSpots!D:D,rosterSpots!E:E,"")</f>
        <v>0</v>
      </c>
      <c r="Q186" s="20">
        <f xml:space="preserve"> (playerGameStats!$R186 * 2) + (playerGameStats!$S186 * 3) + (playerGameStats!$T186)</f>
        <v>10</v>
      </c>
      <c r="R186" s="20">
        <v>2</v>
      </c>
      <c r="S186" s="20">
        <v>2</v>
      </c>
      <c r="T186" s="20">
        <v>0</v>
      </c>
      <c r="U186" s="23">
        <v>0</v>
      </c>
    </row>
    <row r="187" spans="1:21" x14ac:dyDescent="0.25">
      <c r="A187" s="14" t="s">
        <v>340</v>
      </c>
      <c r="B187" s="15">
        <v>2026</v>
      </c>
      <c r="C187" s="15" t="s">
        <v>36</v>
      </c>
      <c r="D187" s="15">
        <v>3</v>
      </c>
      <c r="E187" s="16">
        <v>46134</v>
      </c>
      <c r="F187" s="17">
        <v>0.77083333333333337</v>
      </c>
      <c r="G187" s="15" t="s">
        <v>18</v>
      </c>
      <c r="H187" s="15" t="s">
        <v>310</v>
      </c>
      <c r="I187" s="15" t="s">
        <v>297</v>
      </c>
      <c r="J187" s="15" t="s">
        <v>13</v>
      </c>
      <c r="K187" s="15" t="s">
        <v>47</v>
      </c>
      <c r="L187" s="15" t="s">
        <v>11</v>
      </c>
      <c r="M187" s="15" t="s">
        <v>45</v>
      </c>
      <c r="N187" s="15" t="s">
        <v>248</v>
      </c>
      <c r="O187" s="15" t="str">
        <f>_xlfn.XLOOKUP(N187,players!A:A,players!D:D,"")</f>
        <v>Grant Clark</v>
      </c>
      <c r="P187" s="15" cm="1">
        <f t="array" ref="P187">_xlfn.XLOOKUP(I187&amp;N187,rosterSpots!B:B&amp;rosterSpots!D:D,rosterSpots!E:E,"")</f>
        <v>1</v>
      </c>
      <c r="Q187" s="15">
        <f xml:space="preserve"> (playerGameStats!$R187 * 2) + (playerGameStats!$S187 * 3) + (playerGameStats!$T187)</f>
        <v>11</v>
      </c>
      <c r="R187" s="15">
        <v>4</v>
      </c>
      <c r="S187" s="15">
        <v>1</v>
      </c>
      <c r="T187" s="15">
        <v>0</v>
      </c>
      <c r="U187" s="18">
        <v>0</v>
      </c>
    </row>
    <row r="188" spans="1:21" x14ac:dyDescent="0.25">
      <c r="A188" s="19" t="s">
        <v>340</v>
      </c>
      <c r="B188" s="20">
        <v>2026</v>
      </c>
      <c r="C188" s="20" t="s">
        <v>36</v>
      </c>
      <c r="D188" s="20">
        <v>3</v>
      </c>
      <c r="E188" s="21">
        <v>46134</v>
      </c>
      <c r="F188" s="22">
        <v>0.77083333333333337</v>
      </c>
      <c r="G188" s="20" t="s">
        <v>18</v>
      </c>
      <c r="H188" s="20" t="s">
        <v>310</v>
      </c>
      <c r="I188" s="20" t="s">
        <v>297</v>
      </c>
      <c r="J188" s="20" t="s">
        <v>13</v>
      </c>
      <c r="K188" s="20" t="s">
        <v>47</v>
      </c>
      <c r="L188" s="20" t="s">
        <v>11</v>
      </c>
      <c r="M188" s="20" t="s">
        <v>45</v>
      </c>
      <c r="N188" s="20" t="s">
        <v>244</v>
      </c>
      <c r="O188" s="20" t="str">
        <f>_xlfn.XLOOKUP(N188,players!A:A,players!D:D,"")</f>
        <v>Eli Ratliff</v>
      </c>
      <c r="P188" s="20" cm="1">
        <f t="array" ref="P188">_xlfn.XLOOKUP(I188&amp;N188,rosterSpots!B:B&amp;rosterSpots!D:D,rosterSpots!E:E,"")</f>
        <v>4</v>
      </c>
      <c r="Q188" s="20">
        <f xml:space="preserve"> (playerGameStats!$R188 * 2) + (playerGameStats!$S188 * 3) + (playerGameStats!$T188)</f>
        <v>5</v>
      </c>
      <c r="R188" s="20">
        <v>1</v>
      </c>
      <c r="S188" s="20">
        <v>1</v>
      </c>
      <c r="T188" s="20">
        <v>0</v>
      </c>
      <c r="U188" s="23">
        <v>0</v>
      </c>
    </row>
    <row r="189" spans="1:21" x14ac:dyDescent="0.25">
      <c r="A189" s="14" t="s">
        <v>340</v>
      </c>
      <c r="B189" s="15">
        <v>2026</v>
      </c>
      <c r="C189" s="15" t="s">
        <v>36</v>
      </c>
      <c r="D189" s="15">
        <v>3</v>
      </c>
      <c r="E189" s="16">
        <v>46134</v>
      </c>
      <c r="F189" s="17">
        <v>0.77083333333333337</v>
      </c>
      <c r="G189" s="15" t="s">
        <v>18</v>
      </c>
      <c r="H189" s="15" t="s">
        <v>310</v>
      </c>
      <c r="I189" s="15" t="s">
        <v>297</v>
      </c>
      <c r="J189" s="15" t="s">
        <v>13</v>
      </c>
      <c r="K189" s="15" t="s">
        <v>47</v>
      </c>
      <c r="L189" s="15" t="s">
        <v>11</v>
      </c>
      <c r="M189" s="15" t="s">
        <v>45</v>
      </c>
      <c r="N189" s="15" t="s">
        <v>251</v>
      </c>
      <c r="O189" s="15" t="str">
        <f>_xlfn.XLOOKUP(N189,players!A:A,players!D:D,"")</f>
        <v>Kyle Kelly</v>
      </c>
      <c r="P189" s="15" cm="1">
        <f t="array" ref="P189">_xlfn.XLOOKUP(I189&amp;N189,rosterSpots!B:B&amp;rosterSpots!D:D,rosterSpots!E:E,"")</f>
        <v>13</v>
      </c>
      <c r="Q189" s="15">
        <f xml:space="preserve"> (playerGameStats!$R189 * 2) + (playerGameStats!$S189 * 3) + (playerGameStats!$T189)</f>
        <v>2</v>
      </c>
      <c r="R189" s="15">
        <v>1</v>
      </c>
      <c r="S189" s="15">
        <v>0</v>
      </c>
      <c r="T189" s="15">
        <v>0</v>
      </c>
      <c r="U189" s="18">
        <v>0</v>
      </c>
    </row>
    <row r="190" spans="1:21" x14ac:dyDescent="0.25">
      <c r="A190" s="19" t="s">
        <v>340</v>
      </c>
      <c r="B190" s="20">
        <v>2026</v>
      </c>
      <c r="C190" s="20" t="s">
        <v>36</v>
      </c>
      <c r="D190" s="20">
        <v>3</v>
      </c>
      <c r="E190" s="21">
        <v>46134</v>
      </c>
      <c r="F190" s="22">
        <v>0.77083333333333337</v>
      </c>
      <c r="G190" s="20" t="s">
        <v>18</v>
      </c>
      <c r="H190" s="20" t="s">
        <v>310</v>
      </c>
      <c r="I190" s="20" t="s">
        <v>297</v>
      </c>
      <c r="J190" s="20" t="s">
        <v>13</v>
      </c>
      <c r="K190" s="20" t="s">
        <v>47</v>
      </c>
      <c r="L190" s="20" t="s">
        <v>11</v>
      </c>
      <c r="M190" s="20" t="s">
        <v>45</v>
      </c>
      <c r="N190" s="20" t="s">
        <v>247</v>
      </c>
      <c r="O190" s="20" t="str">
        <f>_xlfn.XLOOKUP(N190,players!A:A,players!D:D,"")</f>
        <v>Donte Diggs</v>
      </c>
      <c r="P190" s="20" cm="1">
        <f t="array" ref="P190">_xlfn.XLOOKUP(I190&amp;N190,rosterSpots!B:B&amp;rosterSpots!D:D,rosterSpots!E:E,"")</f>
        <v>21</v>
      </c>
      <c r="Q190" s="20">
        <f xml:space="preserve"> (playerGameStats!$R190 * 2) + (playerGameStats!$S190 * 3) + (playerGameStats!$T190)</f>
        <v>0</v>
      </c>
      <c r="R190" s="20">
        <v>0</v>
      </c>
      <c r="S190" s="20">
        <v>0</v>
      </c>
      <c r="T190" s="20">
        <v>0</v>
      </c>
      <c r="U190" s="23">
        <v>0</v>
      </c>
    </row>
    <row r="191" spans="1:21" x14ac:dyDescent="0.25">
      <c r="A191" s="14" t="s">
        <v>340</v>
      </c>
      <c r="B191" s="15">
        <v>2026</v>
      </c>
      <c r="C191" s="15" t="s">
        <v>36</v>
      </c>
      <c r="D191" s="15">
        <v>3</v>
      </c>
      <c r="E191" s="16">
        <v>46134</v>
      </c>
      <c r="F191" s="17">
        <v>0.77083333333333337</v>
      </c>
      <c r="G191" s="15" t="s">
        <v>18</v>
      </c>
      <c r="H191" s="15" t="s">
        <v>310</v>
      </c>
      <c r="I191" s="15" t="s">
        <v>297</v>
      </c>
      <c r="J191" s="15" t="s">
        <v>13</v>
      </c>
      <c r="K191" s="15" t="s">
        <v>47</v>
      </c>
      <c r="L191" s="15" t="s">
        <v>11</v>
      </c>
      <c r="M191" s="15" t="s">
        <v>45</v>
      </c>
      <c r="N191" s="15" t="s">
        <v>245</v>
      </c>
      <c r="O191" s="15" t="str">
        <f>_xlfn.XLOOKUP(N191,players!A:A,players!D:D,"")</f>
        <v>Deven Cobb</v>
      </c>
      <c r="P191" s="15" cm="1">
        <f t="array" ref="P191">_xlfn.XLOOKUP(I191&amp;N191,rosterSpots!B:B&amp;rosterSpots!D:D,rosterSpots!E:E,"")</f>
        <v>22</v>
      </c>
      <c r="Q191" s="15">
        <f xml:space="preserve"> (playerGameStats!$R191 * 2) + (playerGameStats!$S191 * 3) + (playerGameStats!$T191)</f>
        <v>6</v>
      </c>
      <c r="R191" s="15">
        <v>3</v>
      </c>
      <c r="S191" s="15">
        <v>0</v>
      </c>
      <c r="T191" s="15">
        <v>0</v>
      </c>
      <c r="U191" s="18">
        <v>0</v>
      </c>
    </row>
    <row r="192" spans="1:21" x14ac:dyDescent="0.25">
      <c r="A192" s="19" t="s">
        <v>340</v>
      </c>
      <c r="B192" s="20">
        <v>2026</v>
      </c>
      <c r="C192" s="20" t="s">
        <v>36</v>
      </c>
      <c r="D192" s="20">
        <v>3</v>
      </c>
      <c r="E192" s="21">
        <v>46134</v>
      </c>
      <c r="F192" s="22">
        <v>0.77083333333333337</v>
      </c>
      <c r="G192" s="20" t="s">
        <v>18</v>
      </c>
      <c r="H192" s="20" t="s">
        <v>310</v>
      </c>
      <c r="I192" s="20" t="s">
        <v>297</v>
      </c>
      <c r="J192" s="20" t="s">
        <v>13</v>
      </c>
      <c r="K192" s="20" t="s">
        <v>47</v>
      </c>
      <c r="L192" s="20" t="s">
        <v>11</v>
      </c>
      <c r="M192" s="20" t="s">
        <v>45</v>
      </c>
      <c r="N192" s="20" t="s">
        <v>246</v>
      </c>
      <c r="O192" s="20" t="str">
        <f>_xlfn.XLOOKUP(N192,players!A:A,players!D:D,"")</f>
        <v>Niko Balis</v>
      </c>
      <c r="P192" s="20" cm="1">
        <f t="array" ref="P192">_xlfn.XLOOKUP(I192&amp;N192,rosterSpots!B:B&amp;rosterSpots!D:D,rosterSpots!E:E,"")</f>
        <v>51</v>
      </c>
      <c r="Q192" s="20">
        <f xml:space="preserve"> (playerGameStats!$R192 * 2) + (playerGameStats!$S192 * 3) + (playerGameStats!$T192)</f>
        <v>21</v>
      </c>
      <c r="R192" s="20">
        <v>2</v>
      </c>
      <c r="S192" s="20">
        <v>5</v>
      </c>
      <c r="T192" s="20">
        <v>2</v>
      </c>
      <c r="U192" s="23">
        <v>2</v>
      </c>
    </row>
    <row r="193" spans="1:21" x14ac:dyDescent="0.25">
      <c r="A193" s="14" t="s">
        <v>339</v>
      </c>
      <c r="B193" s="15">
        <v>2026</v>
      </c>
      <c r="C193" s="15" t="s">
        <v>36</v>
      </c>
      <c r="D193" s="15">
        <v>3</v>
      </c>
      <c r="E193" s="16">
        <v>46134</v>
      </c>
      <c r="F193" s="17">
        <v>0.8125</v>
      </c>
      <c r="G193" s="15" t="s">
        <v>18</v>
      </c>
      <c r="H193" s="15" t="s">
        <v>310</v>
      </c>
      <c r="I193" s="15" t="s">
        <v>301</v>
      </c>
      <c r="J193" s="15" t="s">
        <v>17</v>
      </c>
      <c r="K193" s="15" t="s">
        <v>49</v>
      </c>
      <c r="L193" s="15" t="s">
        <v>10</v>
      </c>
      <c r="M193" s="15" t="s">
        <v>42</v>
      </c>
      <c r="N193" s="15" t="s">
        <v>288</v>
      </c>
      <c r="O193" s="15" t="str">
        <f>_xlfn.XLOOKUP(N193,players!A:A,players!D:D,"")</f>
        <v>Vanardo Banks</v>
      </c>
      <c r="P193" s="15" cm="1">
        <f t="array" ref="P193">_xlfn.XLOOKUP(I193&amp;N193,rosterSpots!B:B&amp;rosterSpots!D:D,rosterSpots!E:E,"")</f>
        <v>10</v>
      </c>
      <c r="Q193" s="15">
        <f xml:space="preserve"> (playerGameStats!$R193 * 2) + (playerGameStats!$S193 * 3) + (playerGameStats!$T193)</f>
        <v>11</v>
      </c>
      <c r="R193" s="15">
        <v>4</v>
      </c>
      <c r="S193" s="15">
        <v>1</v>
      </c>
      <c r="T193" s="15">
        <v>0</v>
      </c>
      <c r="U193" s="18">
        <v>0</v>
      </c>
    </row>
    <row r="194" spans="1:21" x14ac:dyDescent="0.25">
      <c r="A194" s="19" t="s">
        <v>339</v>
      </c>
      <c r="B194" s="20">
        <v>2026</v>
      </c>
      <c r="C194" s="20" t="s">
        <v>36</v>
      </c>
      <c r="D194" s="20">
        <v>3</v>
      </c>
      <c r="E194" s="21">
        <v>46134</v>
      </c>
      <c r="F194" s="22">
        <v>0.8125</v>
      </c>
      <c r="G194" s="20" t="s">
        <v>18</v>
      </c>
      <c r="H194" s="20" t="s">
        <v>310</v>
      </c>
      <c r="I194" s="20" t="s">
        <v>301</v>
      </c>
      <c r="J194" s="20" t="s">
        <v>17</v>
      </c>
      <c r="K194" s="20" t="s">
        <v>49</v>
      </c>
      <c r="L194" s="20" t="s">
        <v>10</v>
      </c>
      <c r="M194" s="20" t="s">
        <v>42</v>
      </c>
      <c r="N194" s="20" t="s">
        <v>291</v>
      </c>
      <c r="O194" s="20" t="str">
        <f>_xlfn.XLOOKUP(N194,players!A:A,players!D:D,"")</f>
        <v>Nkenna Opara</v>
      </c>
      <c r="P194" s="20" cm="1">
        <f t="array" ref="P194">_xlfn.XLOOKUP(I194&amp;N194,rosterSpots!B:B&amp;rosterSpots!D:D,rosterSpots!E:E,"")</f>
        <v>23</v>
      </c>
      <c r="Q194" s="20">
        <f xml:space="preserve"> (playerGameStats!$R194 * 2) + (playerGameStats!$S194 * 3) + (playerGameStats!$T194)</f>
        <v>10</v>
      </c>
      <c r="R194" s="20">
        <v>4</v>
      </c>
      <c r="S194" s="20">
        <v>0</v>
      </c>
      <c r="T194" s="20">
        <v>2</v>
      </c>
      <c r="U194" s="23">
        <v>3</v>
      </c>
    </row>
    <row r="195" spans="1:21" x14ac:dyDescent="0.25">
      <c r="A195" s="14" t="s">
        <v>339</v>
      </c>
      <c r="B195" s="15">
        <v>2026</v>
      </c>
      <c r="C195" s="15" t="s">
        <v>36</v>
      </c>
      <c r="D195" s="15">
        <v>3</v>
      </c>
      <c r="E195" s="16">
        <v>46134</v>
      </c>
      <c r="F195" s="17">
        <v>0.8125</v>
      </c>
      <c r="G195" s="15" t="s">
        <v>18</v>
      </c>
      <c r="H195" s="15" t="s">
        <v>310</v>
      </c>
      <c r="I195" s="15" t="s">
        <v>301</v>
      </c>
      <c r="J195" s="15" t="s">
        <v>17</v>
      </c>
      <c r="K195" s="15" t="s">
        <v>49</v>
      </c>
      <c r="L195" s="15" t="s">
        <v>10</v>
      </c>
      <c r="M195" s="15" t="s">
        <v>42</v>
      </c>
      <c r="N195" s="15" t="s">
        <v>286</v>
      </c>
      <c r="O195" s="15" t="str">
        <f>_xlfn.XLOOKUP(N195,players!A:A,players!D:D,"")</f>
        <v>Grant Blasiak</v>
      </c>
      <c r="P195" s="15" cm="1">
        <f t="array" ref="P195">_xlfn.XLOOKUP(I195&amp;N195,rosterSpots!B:B&amp;rosterSpots!D:D,rosterSpots!E:E,"")</f>
        <v>55</v>
      </c>
      <c r="Q195" s="15">
        <f xml:space="preserve"> (playerGameStats!$R195 * 2) + (playerGameStats!$S195 * 3) + (playerGameStats!$T195)</f>
        <v>20</v>
      </c>
      <c r="R195" s="15">
        <v>7</v>
      </c>
      <c r="S195" s="15">
        <v>1</v>
      </c>
      <c r="T195" s="15">
        <v>3</v>
      </c>
      <c r="U195" s="18">
        <v>4</v>
      </c>
    </row>
    <row r="196" spans="1:21" x14ac:dyDescent="0.25">
      <c r="A196" s="19" t="s">
        <v>339</v>
      </c>
      <c r="B196" s="20">
        <v>2026</v>
      </c>
      <c r="C196" s="20" t="s">
        <v>36</v>
      </c>
      <c r="D196" s="20">
        <v>3</v>
      </c>
      <c r="E196" s="21">
        <v>46134</v>
      </c>
      <c r="F196" s="22">
        <v>0.8125</v>
      </c>
      <c r="G196" s="20" t="s">
        <v>18</v>
      </c>
      <c r="H196" s="20" t="s">
        <v>310</v>
      </c>
      <c r="I196" s="20" t="s">
        <v>294</v>
      </c>
      <c r="J196" s="20" t="s">
        <v>10</v>
      </c>
      <c r="K196" s="20" t="s">
        <v>42</v>
      </c>
      <c r="L196" s="20" t="s">
        <v>17</v>
      </c>
      <c r="M196" s="20" t="s">
        <v>49</v>
      </c>
      <c r="N196" s="20" t="s">
        <v>216</v>
      </c>
      <c r="O196" s="20" t="str">
        <f>_xlfn.XLOOKUP(N196,players!A:A,players!D:D,"")</f>
        <v>Ryan Ricciardelli</v>
      </c>
      <c r="P196" s="20" cm="1">
        <f t="array" ref="P196">_xlfn.XLOOKUP(I196&amp;N196,rosterSpots!B:B&amp;rosterSpots!D:D,rosterSpots!E:E,"")</f>
        <v>2</v>
      </c>
      <c r="Q196" s="20">
        <f xml:space="preserve"> (playerGameStats!$R196 * 2) + (playerGameStats!$S196 * 3) + (playerGameStats!$T196)</f>
        <v>11</v>
      </c>
      <c r="R196" s="20">
        <v>1</v>
      </c>
      <c r="S196" s="20">
        <v>3</v>
      </c>
      <c r="T196" s="20">
        <v>0</v>
      </c>
      <c r="U196" s="23">
        <v>0</v>
      </c>
    </row>
    <row r="197" spans="1:21" x14ac:dyDescent="0.25">
      <c r="A197" s="14" t="s">
        <v>339</v>
      </c>
      <c r="B197" s="15">
        <v>2026</v>
      </c>
      <c r="C197" s="15" t="s">
        <v>36</v>
      </c>
      <c r="D197" s="15">
        <v>3</v>
      </c>
      <c r="E197" s="16">
        <v>46134</v>
      </c>
      <c r="F197" s="17">
        <v>0.8125</v>
      </c>
      <c r="G197" s="15" t="s">
        <v>18</v>
      </c>
      <c r="H197" s="15" t="s">
        <v>310</v>
      </c>
      <c r="I197" s="15" t="s">
        <v>294</v>
      </c>
      <c r="J197" s="15" t="s">
        <v>10</v>
      </c>
      <c r="K197" s="15" t="s">
        <v>42</v>
      </c>
      <c r="L197" s="15" t="s">
        <v>17</v>
      </c>
      <c r="M197" s="15" t="s">
        <v>49</v>
      </c>
      <c r="N197" s="15" t="s">
        <v>221</v>
      </c>
      <c r="O197" s="15" t="str">
        <f>_xlfn.XLOOKUP(N197,players!A:A,players!D:D,"")</f>
        <v>Dom Sepko</v>
      </c>
      <c r="P197" s="15" cm="1">
        <f t="array" ref="P197">_xlfn.XLOOKUP(I197&amp;N197,rosterSpots!B:B&amp;rosterSpots!D:D,rosterSpots!E:E,"")</f>
        <v>3</v>
      </c>
      <c r="Q197" s="15">
        <f xml:space="preserve"> (playerGameStats!$R197 * 2) + (playerGameStats!$S197 * 3) + (playerGameStats!$T197)</f>
        <v>9</v>
      </c>
      <c r="R197" s="15">
        <v>4</v>
      </c>
      <c r="S197" s="15">
        <v>0</v>
      </c>
      <c r="T197" s="15">
        <v>1</v>
      </c>
      <c r="U197" s="18">
        <v>2</v>
      </c>
    </row>
    <row r="198" spans="1:21" x14ac:dyDescent="0.25">
      <c r="A198" s="19" t="s">
        <v>339</v>
      </c>
      <c r="B198" s="20">
        <v>2026</v>
      </c>
      <c r="C198" s="20" t="s">
        <v>36</v>
      </c>
      <c r="D198" s="20">
        <v>3</v>
      </c>
      <c r="E198" s="21">
        <v>46134</v>
      </c>
      <c r="F198" s="22">
        <v>0.8125</v>
      </c>
      <c r="G198" s="20" t="s">
        <v>18</v>
      </c>
      <c r="H198" s="20" t="s">
        <v>310</v>
      </c>
      <c r="I198" s="20" t="s">
        <v>294</v>
      </c>
      <c r="J198" s="20" t="s">
        <v>10</v>
      </c>
      <c r="K198" s="20" t="s">
        <v>42</v>
      </c>
      <c r="L198" s="20" t="s">
        <v>17</v>
      </c>
      <c r="M198" s="20" t="s">
        <v>49</v>
      </c>
      <c r="N198" s="20" t="s">
        <v>219</v>
      </c>
      <c r="O198" s="20" t="str">
        <f>_xlfn.XLOOKUP(N198,players!A:A,players!D:D,"")</f>
        <v>Ryan Maloney</v>
      </c>
      <c r="P198" s="20" cm="1">
        <f t="array" ref="P198">_xlfn.XLOOKUP(I198&amp;N198,rosterSpots!B:B&amp;rosterSpots!D:D,rosterSpots!E:E,"")</f>
        <v>5</v>
      </c>
      <c r="Q198" s="20">
        <f xml:space="preserve"> (playerGameStats!$R198 * 2) + (playerGameStats!$S198 * 3) + (playerGameStats!$T198)</f>
        <v>18</v>
      </c>
      <c r="R198" s="20">
        <v>6</v>
      </c>
      <c r="S198" s="20">
        <v>2</v>
      </c>
      <c r="T198" s="20">
        <v>0</v>
      </c>
      <c r="U198" s="23">
        <v>1</v>
      </c>
    </row>
    <row r="199" spans="1:21" x14ac:dyDescent="0.25">
      <c r="A199" s="14" t="s">
        <v>339</v>
      </c>
      <c r="B199" s="15">
        <v>2026</v>
      </c>
      <c r="C199" s="15" t="s">
        <v>36</v>
      </c>
      <c r="D199" s="15">
        <v>3</v>
      </c>
      <c r="E199" s="16">
        <v>46134</v>
      </c>
      <c r="F199" s="17">
        <v>0.8125</v>
      </c>
      <c r="G199" s="15" t="s">
        <v>18</v>
      </c>
      <c r="H199" s="15" t="s">
        <v>310</v>
      </c>
      <c r="I199" s="15" t="s">
        <v>294</v>
      </c>
      <c r="J199" s="15" t="s">
        <v>10</v>
      </c>
      <c r="K199" s="15" t="s">
        <v>42</v>
      </c>
      <c r="L199" s="15" t="s">
        <v>17</v>
      </c>
      <c r="M199" s="15" t="s">
        <v>49</v>
      </c>
      <c r="N199" s="15" t="s">
        <v>218</v>
      </c>
      <c r="O199" s="15" t="str">
        <f>_xlfn.XLOOKUP(N199,players!A:A,players!D:D,"")</f>
        <v>Guy Johnson</v>
      </c>
      <c r="P199" s="15" cm="1">
        <f t="array" ref="P199">_xlfn.XLOOKUP(I199&amp;N199,rosterSpots!B:B&amp;rosterSpots!D:D,rosterSpots!E:E,"")</f>
        <v>9</v>
      </c>
      <c r="Q199" s="15">
        <f xml:space="preserve"> (playerGameStats!$R199 * 2) + (playerGameStats!$S199 * 3) + (playerGameStats!$T199)</f>
        <v>20</v>
      </c>
      <c r="R199" s="15">
        <v>1</v>
      </c>
      <c r="S199" s="15">
        <v>6</v>
      </c>
      <c r="T199" s="15">
        <v>0</v>
      </c>
      <c r="U199" s="18">
        <v>0</v>
      </c>
    </row>
    <row r="200" spans="1:21" x14ac:dyDescent="0.25">
      <c r="A200" s="19" t="s">
        <v>339</v>
      </c>
      <c r="B200" s="20">
        <v>2026</v>
      </c>
      <c r="C200" s="20" t="s">
        <v>36</v>
      </c>
      <c r="D200" s="20">
        <v>3</v>
      </c>
      <c r="E200" s="21">
        <v>46134</v>
      </c>
      <c r="F200" s="22">
        <v>0.8125</v>
      </c>
      <c r="G200" s="20" t="s">
        <v>18</v>
      </c>
      <c r="H200" s="20" t="s">
        <v>310</v>
      </c>
      <c r="I200" s="20" t="s">
        <v>294</v>
      </c>
      <c r="J200" s="20" t="s">
        <v>10</v>
      </c>
      <c r="K200" s="20" t="s">
        <v>42</v>
      </c>
      <c r="L200" s="20" t="s">
        <v>17</v>
      </c>
      <c r="M200" s="20" t="s">
        <v>49</v>
      </c>
      <c r="N200" s="20" t="s">
        <v>223</v>
      </c>
      <c r="O200" s="20" t="str">
        <f>_xlfn.XLOOKUP(N200,players!A:A,players!D:D,"")</f>
        <v>Clayton Kunzweiler</v>
      </c>
      <c r="P200" s="20" cm="1">
        <f t="array" ref="P200">_xlfn.XLOOKUP(I200&amp;N200,rosterSpots!B:B&amp;rosterSpots!D:D,rosterSpots!E:E,"")</f>
        <v>13</v>
      </c>
      <c r="Q200" s="20">
        <f xml:space="preserve"> (playerGameStats!$R200 * 2) + (playerGameStats!$S200 * 3) + (playerGameStats!$T200)</f>
        <v>19</v>
      </c>
      <c r="R200" s="20">
        <v>6</v>
      </c>
      <c r="S200" s="20">
        <v>2</v>
      </c>
      <c r="T200" s="20">
        <v>1</v>
      </c>
      <c r="U200" s="23">
        <v>1</v>
      </c>
    </row>
    <row r="201" spans="1:21" x14ac:dyDescent="0.25">
      <c r="A201" s="14" t="s">
        <v>339</v>
      </c>
      <c r="B201" s="15">
        <v>2026</v>
      </c>
      <c r="C201" s="15" t="s">
        <v>36</v>
      </c>
      <c r="D201" s="15">
        <v>3</v>
      </c>
      <c r="E201" s="16">
        <v>46134</v>
      </c>
      <c r="F201" s="17">
        <v>0.8125</v>
      </c>
      <c r="G201" s="15" t="s">
        <v>18</v>
      </c>
      <c r="H201" s="15" t="s">
        <v>310</v>
      </c>
      <c r="I201" s="15" t="s">
        <v>294</v>
      </c>
      <c r="J201" s="15" t="s">
        <v>10</v>
      </c>
      <c r="K201" s="15" t="s">
        <v>42</v>
      </c>
      <c r="L201" s="15" t="s">
        <v>17</v>
      </c>
      <c r="M201" s="15" t="s">
        <v>49</v>
      </c>
      <c r="N201" s="15" t="s">
        <v>220</v>
      </c>
      <c r="O201" s="15" t="str">
        <f>_xlfn.XLOOKUP(N201,players!A:A,players!D:D,"")</f>
        <v>Ryan Chapman</v>
      </c>
      <c r="P201" s="15" cm="1">
        <f t="array" ref="P201">_xlfn.XLOOKUP(I201&amp;N201,rosterSpots!B:B&amp;rosterSpots!D:D,rosterSpots!E:E,"")</f>
        <v>20</v>
      </c>
      <c r="Q201" s="15">
        <f xml:space="preserve"> (playerGameStats!$R201 * 2) + (playerGameStats!$S201 * 3) + (playerGameStats!$T201)</f>
        <v>0</v>
      </c>
      <c r="R201" s="15">
        <v>0</v>
      </c>
      <c r="S201" s="15">
        <v>0</v>
      </c>
      <c r="T201" s="15">
        <v>0</v>
      </c>
      <c r="U201" s="18">
        <v>0</v>
      </c>
    </row>
    <row r="202" spans="1:21" x14ac:dyDescent="0.25">
      <c r="A202" s="19" t="s">
        <v>339</v>
      </c>
      <c r="B202" s="20">
        <v>2026</v>
      </c>
      <c r="C202" s="20" t="s">
        <v>36</v>
      </c>
      <c r="D202" s="20">
        <v>3</v>
      </c>
      <c r="E202" s="21">
        <v>46134</v>
      </c>
      <c r="F202" s="22">
        <v>0.8125</v>
      </c>
      <c r="G202" s="20" t="s">
        <v>18</v>
      </c>
      <c r="H202" s="20" t="s">
        <v>310</v>
      </c>
      <c r="I202" s="20" t="s">
        <v>294</v>
      </c>
      <c r="J202" s="20" t="s">
        <v>10</v>
      </c>
      <c r="K202" s="20" t="s">
        <v>42</v>
      </c>
      <c r="L202" s="20" t="s">
        <v>17</v>
      </c>
      <c r="M202" s="20" t="s">
        <v>49</v>
      </c>
      <c r="N202" s="20" t="s">
        <v>215</v>
      </c>
      <c r="O202" s="20" t="str">
        <f>_xlfn.XLOOKUP(N202,players!A:A,players!D:D,"")</f>
        <v>Ryan Fontanazza</v>
      </c>
      <c r="P202" s="20" cm="1">
        <f t="array" ref="P202">_xlfn.XLOOKUP(I202&amp;N202,rosterSpots!B:B&amp;rosterSpots!D:D,rosterSpots!E:E,"")</f>
        <v>22</v>
      </c>
      <c r="Q202" s="20">
        <f xml:space="preserve"> (playerGameStats!$R202 * 2) + (playerGameStats!$S202 * 3) + (playerGameStats!$T202)</f>
        <v>3</v>
      </c>
      <c r="R202" s="20">
        <v>0</v>
      </c>
      <c r="S202" s="20">
        <v>1</v>
      </c>
      <c r="T202" s="20">
        <v>0</v>
      </c>
      <c r="U202" s="23">
        <v>0</v>
      </c>
    </row>
    <row r="203" spans="1:21" x14ac:dyDescent="0.25">
      <c r="A203" s="14" t="s">
        <v>339</v>
      </c>
      <c r="B203" s="15">
        <v>2026</v>
      </c>
      <c r="C203" s="15" t="s">
        <v>36</v>
      </c>
      <c r="D203" s="15">
        <v>3</v>
      </c>
      <c r="E203" s="16">
        <v>46134</v>
      </c>
      <c r="F203" s="17">
        <v>0.8125</v>
      </c>
      <c r="G203" s="15" t="s">
        <v>18</v>
      </c>
      <c r="H203" s="15" t="s">
        <v>310</v>
      </c>
      <c r="I203" s="15" t="s">
        <v>294</v>
      </c>
      <c r="J203" s="15" t="s">
        <v>10</v>
      </c>
      <c r="K203" s="15" t="s">
        <v>42</v>
      </c>
      <c r="L203" s="15" t="s">
        <v>17</v>
      </c>
      <c r="M203" s="15" t="s">
        <v>49</v>
      </c>
      <c r="N203" s="15" t="s">
        <v>217</v>
      </c>
      <c r="O203" s="15" t="str">
        <f>_xlfn.XLOOKUP(N203,players!A:A,players!D:D,"")</f>
        <v>Sean Denson</v>
      </c>
      <c r="P203" s="15" cm="1">
        <f t="array" ref="P203">_xlfn.XLOOKUP(I203&amp;N203,rosterSpots!B:B&amp;rosterSpots!D:D,rosterSpots!E:E,"")</f>
        <v>33</v>
      </c>
      <c r="Q203" s="15">
        <f xml:space="preserve"> (playerGameStats!$R203 * 2) + (playerGameStats!$S203 * 3) + (playerGameStats!$T203)</f>
        <v>10</v>
      </c>
      <c r="R203" s="15">
        <v>2</v>
      </c>
      <c r="S203" s="15">
        <v>2</v>
      </c>
      <c r="T203" s="15">
        <v>0</v>
      </c>
      <c r="U203" s="18">
        <v>0</v>
      </c>
    </row>
    <row r="204" spans="1:21" x14ac:dyDescent="0.25">
      <c r="A204" s="19" t="s">
        <v>338</v>
      </c>
      <c r="B204" s="20">
        <v>2026</v>
      </c>
      <c r="C204" s="20" t="s">
        <v>36</v>
      </c>
      <c r="D204" s="20">
        <v>3</v>
      </c>
      <c r="E204" s="21">
        <v>46134</v>
      </c>
      <c r="F204" s="22">
        <v>0.85416666666666663</v>
      </c>
      <c r="G204" s="20" t="s">
        <v>18</v>
      </c>
      <c r="H204" s="20" t="s">
        <v>310</v>
      </c>
      <c r="I204" s="20" t="s">
        <v>296</v>
      </c>
      <c r="J204" s="20" t="s">
        <v>15</v>
      </c>
      <c r="K204" s="20" t="s">
        <v>48</v>
      </c>
      <c r="L204" s="20" t="s">
        <v>12</v>
      </c>
      <c r="M204" s="20" t="s">
        <v>46</v>
      </c>
      <c r="N204" s="20" t="s">
        <v>238</v>
      </c>
      <c r="O204" s="20" t="str">
        <f>_xlfn.XLOOKUP(N204,players!A:A,players!D:D,"")</f>
        <v>Derin Sweeney</v>
      </c>
      <c r="P204" s="20" cm="1">
        <f t="array" ref="P204">_xlfn.XLOOKUP(I204&amp;N204,rosterSpots!B:B&amp;rosterSpots!D:D,rosterSpots!E:E,"")</f>
        <v>0</v>
      </c>
      <c r="Q204" s="20">
        <f xml:space="preserve"> (playerGameStats!$R204 * 2) + (playerGameStats!$S204 * 3) + (playerGameStats!$T204)</f>
        <v>14</v>
      </c>
      <c r="R204" s="20">
        <v>1</v>
      </c>
      <c r="S204" s="20">
        <v>4</v>
      </c>
      <c r="T204" s="20">
        <v>0</v>
      </c>
      <c r="U204" s="23">
        <v>0</v>
      </c>
    </row>
    <row r="205" spans="1:21" x14ac:dyDescent="0.25">
      <c r="A205" s="14" t="s">
        <v>338</v>
      </c>
      <c r="B205" s="15">
        <v>2026</v>
      </c>
      <c r="C205" s="15" t="s">
        <v>36</v>
      </c>
      <c r="D205" s="15">
        <v>3</v>
      </c>
      <c r="E205" s="16">
        <v>46134</v>
      </c>
      <c r="F205" s="17">
        <v>0.85416666666666663</v>
      </c>
      <c r="G205" s="15" t="s">
        <v>18</v>
      </c>
      <c r="H205" s="15" t="s">
        <v>310</v>
      </c>
      <c r="I205" s="15" t="s">
        <v>296</v>
      </c>
      <c r="J205" s="15" t="s">
        <v>15</v>
      </c>
      <c r="K205" s="15" t="s">
        <v>48</v>
      </c>
      <c r="L205" s="15" t="s">
        <v>12</v>
      </c>
      <c r="M205" s="15" t="s">
        <v>46</v>
      </c>
      <c r="N205" s="15" t="s">
        <v>235</v>
      </c>
      <c r="O205" s="15" t="str">
        <f>_xlfn.XLOOKUP(N205,players!A:A,players!D:D,"")</f>
        <v>Kyle Ginter</v>
      </c>
      <c r="P205" s="15" cm="1">
        <f t="array" ref="P205">_xlfn.XLOOKUP(I205&amp;N205,rosterSpots!B:B&amp;rosterSpots!D:D,rosterSpots!E:E,"")</f>
        <v>7</v>
      </c>
      <c r="Q205" s="15">
        <f xml:space="preserve"> (playerGameStats!$R205 * 2) + (playerGameStats!$S205 * 3) + (playerGameStats!$T205)</f>
        <v>5</v>
      </c>
      <c r="R205" s="15">
        <v>1</v>
      </c>
      <c r="S205" s="15">
        <v>1</v>
      </c>
      <c r="T205" s="15">
        <v>0</v>
      </c>
      <c r="U205" s="18">
        <v>0</v>
      </c>
    </row>
    <row r="206" spans="1:21" x14ac:dyDescent="0.25">
      <c r="A206" s="19" t="s">
        <v>338</v>
      </c>
      <c r="B206" s="20">
        <v>2026</v>
      </c>
      <c r="C206" s="20" t="s">
        <v>36</v>
      </c>
      <c r="D206" s="20">
        <v>3</v>
      </c>
      <c r="E206" s="21">
        <v>46134</v>
      </c>
      <c r="F206" s="22">
        <v>0.85416666666666663</v>
      </c>
      <c r="G206" s="20" t="s">
        <v>18</v>
      </c>
      <c r="H206" s="20" t="s">
        <v>310</v>
      </c>
      <c r="I206" s="20" t="s">
        <v>296</v>
      </c>
      <c r="J206" s="20" t="s">
        <v>15</v>
      </c>
      <c r="K206" s="20" t="s">
        <v>48</v>
      </c>
      <c r="L206" s="20" t="s">
        <v>12</v>
      </c>
      <c r="M206" s="20" t="s">
        <v>46</v>
      </c>
      <c r="N206" s="20" t="s">
        <v>243</v>
      </c>
      <c r="O206" s="20" t="str">
        <f>_xlfn.XLOOKUP(N206,players!A:A,players!D:D,"")</f>
        <v>Donald Owens</v>
      </c>
      <c r="P206" s="20" cm="1">
        <f t="array" ref="P206">_xlfn.XLOOKUP(I206&amp;N206,rosterSpots!B:B&amp;rosterSpots!D:D,rosterSpots!E:E,"")</f>
        <v>11</v>
      </c>
      <c r="Q206" s="20">
        <f xml:space="preserve"> (playerGameStats!$R206 * 2) + (playerGameStats!$S206 * 3) + (playerGameStats!$T206)</f>
        <v>6</v>
      </c>
      <c r="R206" s="20">
        <v>3</v>
      </c>
      <c r="S206" s="20">
        <v>0</v>
      </c>
      <c r="T206" s="20">
        <v>0</v>
      </c>
      <c r="U206" s="23">
        <v>0</v>
      </c>
    </row>
    <row r="207" spans="1:21" x14ac:dyDescent="0.25">
      <c r="A207" s="14" t="s">
        <v>338</v>
      </c>
      <c r="B207" s="15">
        <v>2026</v>
      </c>
      <c r="C207" s="15" t="s">
        <v>36</v>
      </c>
      <c r="D207" s="15">
        <v>3</v>
      </c>
      <c r="E207" s="16">
        <v>46134</v>
      </c>
      <c r="F207" s="17">
        <v>0.85416666666666663</v>
      </c>
      <c r="G207" s="15" t="s">
        <v>18</v>
      </c>
      <c r="H207" s="15" t="s">
        <v>310</v>
      </c>
      <c r="I207" s="15" t="s">
        <v>296</v>
      </c>
      <c r="J207" s="15" t="s">
        <v>15</v>
      </c>
      <c r="K207" s="15" t="s">
        <v>48</v>
      </c>
      <c r="L207" s="15" t="s">
        <v>12</v>
      </c>
      <c r="M207" s="15" t="s">
        <v>46</v>
      </c>
      <c r="N207" s="15" t="s">
        <v>236</v>
      </c>
      <c r="O207" s="15" t="str">
        <f>_xlfn.XLOOKUP(N207,players!A:A,players!D:D,"")</f>
        <v>Jeff Savage</v>
      </c>
      <c r="P207" s="15" cm="1">
        <f t="array" ref="P207">_xlfn.XLOOKUP(I207&amp;N207,rosterSpots!B:B&amp;rosterSpots!D:D,rosterSpots!E:E,"")</f>
        <v>14</v>
      </c>
      <c r="Q207" s="15">
        <f xml:space="preserve"> (playerGameStats!$R207 * 2) + (playerGameStats!$S207 * 3) + (playerGameStats!$T207)</f>
        <v>9</v>
      </c>
      <c r="R207" s="15">
        <v>3</v>
      </c>
      <c r="S207" s="15">
        <v>1</v>
      </c>
      <c r="T207" s="15">
        <v>0</v>
      </c>
      <c r="U207" s="18">
        <v>0</v>
      </c>
    </row>
    <row r="208" spans="1:21" x14ac:dyDescent="0.25">
      <c r="A208" s="19" t="s">
        <v>338</v>
      </c>
      <c r="B208" s="20">
        <v>2026</v>
      </c>
      <c r="C208" s="20" t="s">
        <v>36</v>
      </c>
      <c r="D208" s="20">
        <v>3</v>
      </c>
      <c r="E208" s="21">
        <v>46134</v>
      </c>
      <c r="F208" s="22">
        <v>0.85416666666666663</v>
      </c>
      <c r="G208" s="20" t="s">
        <v>18</v>
      </c>
      <c r="H208" s="20" t="s">
        <v>310</v>
      </c>
      <c r="I208" s="20" t="s">
        <v>296</v>
      </c>
      <c r="J208" s="20" t="s">
        <v>15</v>
      </c>
      <c r="K208" s="20" t="s">
        <v>48</v>
      </c>
      <c r="L208" s="20" t="s">
        <v>12</v>
      </c>
      <c r="M208" s="20" t="s">
        <v>46</v>
      </c>
      <c r="N208" s="20" t="s">
        <v>241</v>
      </c>
      <c r="O208" s="20" t="str">
        <f>_xlfn.XLOOKUP(N208,players!A:A,players!D:D,"")</f>
        <v>Brian Clemens</v>
      </c>
      <c r="P208" s="20" cm="1">
        <f t="array" ref="P208">_xlfn.XLOOKUP(I208&amp;N208,rosterSpots!B:B&amp;rosterSpots!D:D,rosterSpots!E:E,"")</f>
        <v>17</v>
      </c>
      <c r="Q208" s="20">
        <f xml:space="preserve"> (playerGameStats!$R208 * 2) + (playerGameStats!$S208 * 3) + (playerGameStats!$T208)</f>
        <v>4</v>
      </c>
      <c r="R208" s="20">
        <v>2</v>
      </c>
      <c r="S208" s="20">
        <v>0</v>
      </c>
      <c r="T208" s="20">
        <v>0</v>
      </c>
      <c r="U208" s="23">
        <v>0</v>
      </c>
    </row>
    <row r="209" spans="1:21" x14ac:dyDescent="0.25">
      <c r="A209" s="14" t="s">
        <v>338</v>
      </c>
      <c r="B209" s="15">
        <v>2026</v>
      </c>
      <c r="C209" s="15" t="s">
        <v>36</v>
      </c>
      <c r="D209" s="15">
        <v>3</v>
      </c>
      <c r="E209" s="16">
        <v>46134</v>
      </c>
      <c r="F209" s="17">
        <v>0.85416666666666663</v>
      </c>
      <c r="G209" s="15" t="s">
        <v>18</v>
      </c>
      <c r="H209" s="15" t="s">
        <v>310</v>
      </c>
      <c r="I209" s="15" t="s">
        <v>296</v>
      </c>
      <c r="J209" s="15" t="s">
        <v>15</v>
      </c>
      <c r="K209" s="15" t="s">
        <v>48</v>
      </c>
      <c r="L209" s="15" t="s">
        <v>12</v>
      </c>
      <c r="M209" s="15" t="s">
        <v>46</v>
      </c>
      <c r="N209" s="15" t="s">
        <v>242</v>
      </c>
      <c r="O209" s="15" t="str">
        <f>_xlfn.XLOOKUP(N209,players!A:A,players!D:D,"")</f>
        <v>Jordan Wilcox</v>
      </c>
      <c r="P209" s="15" cm="1">
        <f t="array" ref="P209">_xlfn.XLOOKUP(I209&amp;N209,rosterSpots!B:B&amp;rosterSpots!D:D,rosterSpots!E:E,"")</f>
        <v>24</v>
      </c>
      <c r="Q209" s="15">
        <f xml:space="preserve"> (playerGameStats!$R209 * 2) + (playerGameStats!$S209 * 3) + (playerGameStats!$T209)</f>
        <v>19</v>
      </c>
      <c r="R209" s="15">
        <v>8</v>
      </c>
      <c r="S209" s="15">
        <v>0</v>
      </c>
      <c r="T209" s="15">
        <v>3</v>
      </c>
      <c r="U209" s="18">
        <v>6</v>
      </c>
    </row>
    <row r="210" spans="1:21" x14ac:dyDescent="0.25">
      <c r="A210" s="19" t="s">
        <v>338</v>
      </c>
      <c r="B210" s="20">
        <v>2026</v>
      </c>
      <c r="C210" s="20" t="s">
        <v>36</v>
      </c>
      <c r="D210" s="20">
        <v>3</v>
      </c>
      <c r="E210" s="21">
        <v>46134</v>
      </c>
      <c r="F210" s="22">
        <v>0.85416666666666663</v>
      </c>
      <c r="G210" s="20" t="s">
        <v>18</v>
      </c>
      <c r="H210" s="20" t="s">
        <v>310</v>
      </c>
      <c r="I210" s="20" t="s">
        <v>296</v>
      </c>
      <c r="J210" s="20" t="s">
        <v>15</v>
      </c>
      <c r="K210" s="20" t="s">
        <v>48</v>
      </c>
      <c r="L210" s="20" t="s">
        <v>12</v>
      </c>
      <c r="M210" s="20" t="s">
        <v>46</v>
      </c>
      <c r="N210" s="20" t="s">
        <v>239</v>
      </c>
      <c r="O210" s="20" t="str">
        <f>_xlfn.XLOOKUP(N210,players!A:A,players!D:D,"")</f>
        <v>Hakim Jackson</v>
      </c>
      <c r="P210" s="20" cm="1">
        <f t="array" ref="P210">_xlfn.XLOOKUP(I210&amp;N210,rosterSpots!B:B&amp;rosterSpots!D:D,rosterSpots!E:E,"")</f>
        <v>77</v>
      </c>
      <c r="Q210" s="20">
        <f xml:space="preserve"> (playerGameStats!$R210 * 2) + (playerGameStats!$S210 * 3) + (playerGameStats!$T210)</f>
        <v>7</v>
      </c>
      <c r="R210" s="20">
        <v>2</v>
      </c>
      <c r="S210" s="20">
        <v>1</v>
      </c>
      <c r="T210" s="20">
        <v>0</v>
      </c>
      <c r="U210" s="23">
        <v>0</v>
      </c>
    </row>
    <row r="211" spans="1:21" x14ac:dyDescent="0.25">
      <c r="A211" s="14" t="s">
        <v>338</v>
      </c>
      <c r="B211" s="15">
        <v>2026</v>
      </c>
      <c r="C211" s="15" t="s">
        <v>36</v>
      </c>
      <c r="D211" s="15">
        <v>3</v>
      </c>
      <c r="E211" s="16">
        <v>46134</v>
      </c>
      <c r="F211" s="17">
        <v>0.85416666666666663</v>
      </c>
      <c r="G211" s="15" t="s">
        <v>18</v>
      </c>
      <c r="H211" s="15" t="s">
        <v>310</v>
      </c>
      <c r="I211" s="15" t="s">
        <v>298</v>
      </c>
      <c r="J211" s="15" t="s">
        <v>12</v>
      </c>
      <c r="K211" s="15" t="s">
        <v>46</v>
      </c>
      <c r="L211" s="15" t="s">
        <v>15</v>
      </c>
      <c r="M211" s="15" t="s">
        <v>48</v>
      </c>
      <c r="N211" s="15" t="s">
        <v>253</v>
      </c>
      <c r="O211" s="15" t="str">
        <f>_xlfn.XLOOKUP(N211,players!A:A,players!D:D,"")</f>
        <v>Doug Adams</v>
      </c>
      <c r="P211" s="15" cm="1">
        <f t="array" ref="P211">_xlfn.XLOOKUP(I211&amp;N211,rosterSpots!B:B&amp;rosterSpots!D:D,rosterSpots!E:E,"")</f>
        <v>3</v>
      </c>
      <c r="Q211" s="15">
        <f xml:space="preserve"> (playerGameStats!$R211 * 2) + (playerGameStats!$S211 * 3) + (playerGameStats!$T211)</f>
        <v>22</v>
      </c>
      <c r="R211" s="15">
        <v>5</v>
      </c>
      <c r="S211" s="15">
        <v>4</v>
      </c>
      <c r="T211" s="15">
        <v>0</v>
      </c>
      <c r="U211" s="18">
        <v>0</v>
      </c>
    </row>
    <row r="212" spans="1:21" x14ac:dyDescent="0.25">
      <c r="A212" s="19" t="s">
        <v>338</v>
      </c>
      <c r="B212" s="20">
        <v>2026</v>
      </c>
      <c r="C212" s="20" t="s">
        <v>36</v>
      </c>
      <c r="D212" s="20">
        <v>3</v>
      </c>
      <c r="E212" s="21">
        <v>46134</v>
      </c>
      <c r="F212" s="22">
        <v>0.85416666666666663</v>
      </c>
      <c r="G212" s="20" t="s">
        <v>18</v>
      </c>
      <c r="H212" s="20" t="s">
        <v>310</v>
      </c>
      <c r="I212" s="20" t="s">
        <v>298</v>
      </c>
      <c r="J212" s="20" t="s">
        <v>12</v>
      </c>
      <c r="K212" s="20" t="s">
        <v>46</v>
      </c>
      <c r="L212" s="20" t="s">
        <v>15</v>
      </c>
      <c r="M212" s="20" t="s">
        <v>48</v>
      </c>
      <c r="N212" s="20" t="s">
        <v>254</v>
      </c>
      <c r="O212" s="20" t="str">
        <f>_xlfn.XLOOKUP(N212,players!A:A,players!D:D,"")</f>
        <v>Kelechi Madu</v>
      </c>
      <c r="P212" s="20" cm="1">
        <f t="array" ref="P212">_xlfn.XLOOKUP(I212&amp;N212,rosterSpots!B:B&amp;rosterSpots!D:D,rosterSpots!E:E,"")</f>
        <v>13</v>
      </c>
      <c r="Q212" s="20">
        <f xml:space="preserve"> (playerGameStats!$R212 * 2) + (playerGameStats!$S212 * 3) + (playerGameStats!$T212)</f>
        <v>6</v>
      </c>
      <c r="R212" s="20">
        <v>3</v>
      </c>
      <c r="S212" s="20">
        <v>0</v>
      </c>
      <c r="T212" s="20">
        <v>0</v>
      </c>
      <c r="U212" s="23">
        <v>0</v>
      </c>
    </row>
    <row r="213" spans="1:21" x14ac:dyDescent="0.25">
      <c r="A213" s="14" t="s">
        <v>338</v>
      </c>
      <c r="B213" s="15">
        <v>2026</v>
      </c>
      <c r="C213" s="15" t="s">
        <v>36</v>
      </c>
      <c r="D213" s="15">
        <v>3</v>
      </c>
      <c r="E213" s="16">
        <v>46134</v>
      </c>
      <c r="F213" s="17">
        <v>0.85416666666666663</v>
      </c>
      <c r="G213" s="15" t="s">
        <v>18</v>
      </c>
      <c r="H213" s="15" t="s">
        <v>310</v>
      </c>
      <c r="I213" s="15" t="s">
        <v>298</v>
      </c>
      <c r="J213" s="15" t="s">
        <v>12</v>
      </c>
      <c r="K213" s="15" t="s">
        <v>46</v>
      </c>
      <c r="L213" s="15" t="s">
        <v>15</v>
      </c>
      <c r="M213" s="15" t="s">
        <v>48</v>
      </c>
      <c r="N213" s="15" t="s">
        <v>255</v>
      </c>
      <c r="O213" s="15" t="str">
        <f>_xlfn.XLOOKUP(N213,players!A:A,players!D:D,"")</f>
        <v>Connor Stine</v>
      </c>
      <c r="P213" s="15" cm="1">
        <f t="array" ref="P213">_xlfn.XLOOKUP(I213&amp;N213,rosterSpots!B:B&amp;rosterSpots!D:D,rosterSpots!E:E,"")</f>
        <v>14</v>
      </c>
      <c r="Q213" s="15">
        <f xml:space="preserve"> (playerGameStats!$R213 * 2) + (playerGameStats!$S213 * 3) + (playerGameStats!$T213)</f>
        <v>14</v>
      </c>
      <c r="R213" s="15">
        <v>4</v>
      </c>
      <c r="S213" s="15">
        <v>2</v>
      </c>
      <c r="T213" s="15">
        <v>0</v>
      </c>
      <c r="U213" s="18">
        <v>0</v>
      </c>
    </row>
    <row r="214" spans="1:21" x14ac:dyDescent="0.25">
      <c r="A214" s="19" t="s">
        <v>338</v>
      </c>
      <c r="B214" s="20">
        <v>2026</v>
      </c>
      <c r="C214" s="20" t="s">
        <v>36</v>
      </c>
      <c r="D214" s="20">
        <v>3</v>
      </c>
      <c r="E214" s="21">
        <v>46134</v>
      </c>
      <c r="F214" s="22">
        <v>0.85416666666666663</v>
      </c>
      <c r="G214" s="20" t="s">
        <v>18</v>
      </c>
      <c r="H214" s="20" t="s">
        <v>310</v>
      </c>
      <c r="I214" s="20" t="s">
        <v>298</v>
      </c>
      <c r="J214" s="20" t="s">
        <v>12</v>
      </c>
      <c r="K214" s="20" t="s">
        <v>46</v>
      </c>
      <c r="L214" s="20" t="s">
        <v>15</v>
      </c>
      <c r="M214" s="20" t="s">
        <v>48</v>
      </c>
      <c r="N214" s="20" t="s">
        <v>259</v>
      </c>
      <c r="O214" s="20" t="str">
        <f>_xlfn.XLOOKUP(N214,players!A:A,players!D:D,"")</f>
        <v>Allen Harley</v>
      </c>
      <c r="P214" s="20" cm="1">
        <f t="array" ref="P214">_xlfn.XLOOKUP(I214&amp;N214,rosterSpots!B:B&amp;rosterSpots!D:D,rosterSpots!E:E,"")</f>
        <v>21</v>
      </c>
      <c r="Q214" s="20">
        <f xml:space="preserve"> (playerGameStats!$R214 * 2) + (playerGameStats!$S214 * 3) + (playerGameStats!$T214)</f>
        <v>4</v>
      </c>
      <c r="R214" s="20">
        <v>2</v>
      </c>
      <c r="S214" s="20">
        <v>0</v>
      </c>
      <c r="T214" s="20">
        <v>0</v>
      </c>
      <c r="U214" s="23">
        <v>0</v>
      </c>
    </row>
    <row r="215" spans="1:21" x14ac:dyDescent="0.25">
      <c r="A215" s="14" t="s">
        <v>338</v>
      </c>
      <c r="B215" s="15">
        <v>2026</v>
      </c>
      <c r="C215" s="15" t="s">
        <v>36</v>
      </c>
      <c r="D215" s="15">
        <v>3</v>
      </c>
      <c r="E215" s="16">
        <v>46134</v>
      </c>
      <c r="F215" s="17">
        <v>0.85416666666666663</v>
      </c>
      <c r="G215" s="15" t="s">
        <v>18</v>
      </c>
      <c r="H215" s="15" t="s">
        <v>310</v>
      </c>
      <c r="I215" s="15" t="s">
        <v>298</v>
      </c>
      <c r="J215" s="15" t="s">
        <v>12</v>
      </c>
      <c r="K215" s="15" t="s">
        <v>46</v>
      </c>
      <c r="L215" s="15" t="s">
        <v>15</v>
      </c>
      <c r="M215" s="15" t="s">
        <v>48</v>
      </c>
      <c r="N215" s="15" t="s">
        <v>261</v>
      </c>
      <c r="O215" s="15" t="str">
        <f>_xlfn.XLOOKUP(N215,players!A:A,players!D:D,"")</f>
        <v>Ricky Riaz</v>
      </c>
      <c r="P215" s="15" cm="1">
        <f t="array" ref="P215">_xlfn.XLOOKUP(I215&amp;N215,rosterSpots!B:B&amp;rosterSpots!D:D,rosterSpots!E:E,"")</f>
        <v>30</v>
      </c>
      <c r="Q215" s="15">
        <f xml:space="preserve"> (playerGameStats!$R215 * 2) + (playerGameStats!$S215 * 3) + (playerGameStats!$T215)</f>
        <v>2</v>
      </c>
      <c r="R215" s="15">
        <v>1</v>
      </c>
      <c r="S215" s="15">
        <v>0</v>
      </c>
      <c r="T215" s="15">
        <v>0</v>
      </c>
      <c r="U215" s="18">
        <v>0</v>
      </c>
    </row>
    <row r="216" spans="1:21" x14ac:dyDescent="0.25">
      <c r="A216" s="19" t="s">
        <v>337</v>
      </c>
      <c r="B216" s="20">
        <v>2026</v>
      </c>
      <c r="C216" s="20" t="s">
        <v>36</v>
      </c>
      <c r="D216" s="20">
        <v>3</v>
      </c>
      <c r="E216" s="21">
        <v>46135</v>
      </c>
      <c r="F216" s="22">
        <v>0.8125</v>
      </c>
      <c r="G216" s="20" t="s">
        <v>18</v>
      </c>
      <c r="H216" s="20" t="s">
        <v>310</v>
      </c>
      <c r="I216" s="20" t="s">
        <v>298</v>
      </c>
      <c r="J216" s="20" t="s">
        <v>12</v>
      </c>
      <c r="K216" s="20" t="s">
        <v>46</v>
      </c>
      <c r="L216" s="20" t="s">
        <v>11</v>
      </c>
      <c r="M216" s="20" t="s">
        <v>45</v>
      </c>
      <c r="N216" s="20" t="s">
        <v>260</v>
      </c>
      <c r="O216" s="20" t="str">
        <f>_xlfn.XLOOKUP(N216,players!A:A,players!D:D,"")</f>
        <v>Manthan Tailor</v>
      </c>
      <c r="P216" s="20" cm="1">
        <f t="array" ref="P216">_xlfn.XLOOKUP(I216&amp;N216,rosterSpots!B:B&amp;rosterSpots!D:D,rosterSpots!E:E,"")</f>
        <v>2</v>
      </c>
      <c r="Q216" s="20">
        <f xml:space="preserve"> (playerGameStats!$R216 * 2) + (playerGameStats!$S216 * 3) + (playerGameStats!$T216)</f>
        <v>3</v>
      </c>
      <c r="R216" s="20">
        <v>0</v>
      </c>
      <c r="S216" s="20">
        <v>1</v>
      </c>
      <c r="T216" s="20">
        <v>0</v>
      </c>
      <c r="U216" s="23">
        <v>0</v>
      </c>
    </row>
    <row r="217" spans="1:21" x14ac:dyDescent="0.25">
      <c r="A217" s="14" t="s">
        <v>337</v>
      </c>
      <c r="B217" s="15">
        <v>2026</v>
      </c>
      <c r="C217" s="15" t="s">
        <v>36</v>
      </c>
      <c r="D217" s="15">
        <v>3</v>
      </c>
      <c r="E217" s="16">
        <v>46135</v>
      </c>
      <c r="F217" s="17">
        <v>0.8125</v>
      </c>
      <c r="G217" s="15" t="s">
        <v>18</v>
      </c>
      <c r="H217" s="15" t="s">
        <v>310</v>
      </c>
      <c r="I217" s="15" t="s">
        <v>298</v>
      </c>
      <c r="J217" s="15" t="s">
        <v>12</v>
      </c>
      <c r="K217" s="15" t="s">
        <v>46</v>
      </c>
      <c r="L217" s="15" t="s">
        <v>11</v>
      </c>
      <c r="M217" s="15" t="s">
        <v>45</v>
      </c>
      <c r="N217" s="15" t="s">
        <v>257</v>
      </c>
      <c r="O217" s="15" t="str">
        <f>_xlfn.XLOOKUP(N217,players!A:A,players!D:D,"")</f>
        <v>Janos Vajda</v>
      </c>
      <c r="P217" s="15" cm="1">
        <f t="array" ref="P217">_xlfn.XLOOKUP(I217&amp;N217,rosterSpots!B:B&amp;rosterSpots!D:D,rosterSpots!E:E,"")</f>
        <v>5</v>
      </c>
      <c r="Q217" s="15">
        <f xml:space="preserve"> (playerGameStats!$R217 * 2) + (playerGameStats!$S217 * 3) + (playerGameStats!$T217)</f>
        <v>3</v>
      </c>
      <c r="R217" s="15">
        <v>0</v>
      </c>
      <c r="S217" s="15">
        <v>1</v>
      </c>
      <c r="T217" s="15">
        <v>0</v>
      </c>
      <c r="U217" s="18">
        <v>0</v>
      </c>
    </row>
    <row r="218" spans="1:21" x14ac:dyDescent="0.25">
      <c r="A218" s="19" t="s">
        <v>337</v>
      </c>
      <c r="B218" s="20">
        <v>2026</v>
      </c>
      <c r="C218" s="20" t="s">
        <v>36</v>
      </c>
      <c r="D218" s="20">
        <v>3</v>
      </c>
      <c r="E218" s="21">
        <v>46135</v>
      </c>
      <c r="F218" s="22">
        <v>0.8125</v>
      </c>
      <c r="G218" s="20" t="s">
        <v>18</v>
      </c>
      <c r="H218" s="20" t="s">
        <v>310</v>
      </c>
      <c r="I218" s="20" t="s">
        <v>298</v>
      </c>
      <c r="J218" s="20" t="s">
        <v>12</v>
      </c>
      <c r="K218" s="20" t="s">
        <v>46</v>
      </c>
      <c r="L218" s="20" t="s">
        <v>11</v>
      </c>
      <c r="M218" s="20" t="s">
        <v>45</v>
      </c>
      <c r="N218" s="20" t="s">
        <v>258</v>
      </c>
      <c r="O218" s="20" t="str">
        <f>_xlfn.XLOOKUP(N218,players!A:A,players!D:D,"")</f>
        <v>Brett Ziller</v>
      </c>
      <c r="P218" s="20" cm="1">
        <f t="array" ref="P218">_xlfn.XLOOKUP(I218&amp;N218,rosterSpots!B:B&amp;rosterSpots!D:D,rosterSpots!E:E,"")</f>
        <v>8</v>
      </c>
      <c r="Q218" s="20">
        <f xml:space="preserve"> (playerGameStats!$R218 * 2) + (playerGameStats!$S218 * 3) + (playerGameStats!$T218)</f>
        <v>6</v>
      </c>
      <c r="R218" s="20">
        <v>2</v>
      </c>
      <c r="S218" s="20">
        <v>0</v>
      </c>
      <c r="T218" s="20">
        <v>2</v>
      </c>
      <c r="U218" s="23">
        <v>2</v>
      </c>
    </row>
    <row r="219" spans="1:21" x14ac:dyDescent="0.25">
      <c r="A219" s="14" t="s">
        <v>337</v>
      </c>
      <c r="B219" s="15">
        <v>2026</v>
      </c>
      <c r="C219" s="15" t="s">
        <v>36</v>
      </c>
      <c r="D219" s="15">
        <v>3</v>
      </c>
      <c r="E219" s="16">
        <v>46135</v>
      </c>
      <c r="F219" s="17">
        <v>0.8125</v>
      </c>
      <c r="G219" s="15" t="s">
        <v>18</v>
      </c>
      <c r="H219" s="15" t="s">
        <v>310</v>
      </c>
      <c r="I219" s="15" t="s">
        <v>298</v>
      </c>
      <c r="J219" s="15" t="s">
        <v>12</v>
      </c>
      <c r="K219" s="15" t="s">
        <v>46</v>
      </c>
      <c r="L219" s="15" t="s">
        <v>11</v>
      </c>
      <c r="M219" s="15" t="s">
        <v>45</v>
      </c>
      <c r="N219" s="15" t="s">
        <v>254</v>
      </c>
      <c r="O219" s="15" t="str">
        <f>_xlfn.XLOOKUP(N219,players!A:A,players!D:D,"")</f>
        <v>Kelechi Madu</v>
      </c>
      <c r="P219" s="15" cm="1">
        <f t="array" ref="P219">_xlfn.XLOOKUP(I219&amp;N219,rosterSpots!B:B&amp;rosterSpots!D:D,rosterSpots!E:E,"")</f>
        <v>13</v>
      </c>
      <c r="Q219" s="15">
        <f xml:space="preserve"> (playerGameStats!$R219 * 2) + (playerGameStats!$S219 * 3) + (playerGameStats!$T219)</f>
        <v>0</v>
      </c>
      <c r="R219" s="15">
        <v>0</v>
      </c>
      <c r="S219" s="15">
        <v>0</v>
      </c>
      <c r="T219" s="15">
        <v>0</v>
      </c>
      <c r="U219" s="18">
        <v>0</v>
      </c>
    </row>
    <row r="220" spans="1:21" x14ac:dyDescent="0.25">
      <c r="A220" s="19" t="s">
        <v>337</v>
      </c>
      <c r="B220" s="20">
        <v>2026</v>
      </c>
      <c r="C220" s="20" t="s">
        <v>36</v>
      </c>
      <c r="D220" s="20">
        <v>3</v>
      </c>
      <c r="E220" s="21">
        <v>46135</v>
      </c>
      <c r="F220" s="22">
        <v>0.8125</v>
      </c>
      <c r="G220" s="20" t="s">
        <v>18</v>
      </c>
      <c r="H220" s="20" t="s">
        <v>310</v>
      </c>
      <c r="I220" s="20" t="s">
        <v>298</v>
      </c>
      <c r="J220" s="20" t="s">
        <v>12</v>
      </c>
      <c r="K220" s="20" t="s">
        <v>46</v>
      </c>
      <c r="L220" s="20" t="s">
        <v>11</v>
      </c>
      <c r="M220" s="20" t="s">
        <v>45</v>
      </c>
      <c r="N220" s="20" t="s">
        <v>255</v>
      </c>
      <c r="O220" s="20" t="str">
        <f>_xlfn.XLOOKUP(N220,players!A:A,players!D:D,"")</f>
        <v>Connor Stine</v>
      </c>
      <c r="P220" s="20" cm="1">
        <f t="array" ref="P220">_xlfn.XLOOKUP(I220&amp;N220,rosterSpots!B:B&amp;rosterSpots!D:D,rosterSpots!E:E,"")</f>
        <v>14</v>
      </c>
      <c r="Q220" s="20">
        <f xml:space="preserve"> (playerGameStats!$R220 * 2) + (playerGameStats!$S220 * 3) + (playerGameStats!$T220)</f>
        <v>6</v>
      </c>
      <c r="R220" s="20">
        <v>0</v>
      </c>
      <c r="S220" s="20">
        <v>2</v>
      </c>
      <c r="T220" s="20">
        <v>0</v>
      </c>
      <c r="U220" s="23">
        <v>0</v>
      </c>
    </row>
    <row r="221" spans="1:21" x14ac:dyDescent="0.25">
      <c r="A221" s="14" t="s">
        <v>337</v>
      </c>
      <c r="B221" s="15">
        <v>2026</v>
      </c>
      <c r="C221" s="15" t="s">
        <v>36</v>
      </c>
      <c r="D221" s="15">
        <v>3</v>
      </c>
      <c r="E221" s="16">
        <v>46135</v>
      </c>
      <c r="F221" s="17">
        <v>0.8125</v>
      </c>
      <c r="G221" s="15" t="s">
        <v>18</v>
      </c>
      <c r="H221" s="15" t="s">
        <v>310</v>
      </c>
      <c r="I221" s="15" t="s">
        <v>298</v>
      </c>
      <c r="J221" s="15" t="s">
        <v>12</v>
      </c>
      <c r="K221" s="15" t="s">
        <v>46</v>
      </c>
      <c r="L221" s="15" t="s">
        <v>11</v>
      </c>
      <c r="M221" s="15" t="s">
        <v>45</v>
      </c>
      <c r="N221" s="15" t="s">
        <v>259</v>
      </c>
      <c r="O221" s="15" t="str">
        <f>_xlfn.XLOOKUP(N221,players!A:A,players!D:D,"")</f>
        <v>Allen Harley</v>
      </c>
      <c r="P221" s="15" cm="1">
        <f t="array" ref="P221">_xlfn.XLOOKUP(I221&amp;N221,rosterSpots!B:B&amp;rosterSpots!D:D,rosterSpots!E:E,"")</f>
        <v>21</v>
      </c>
      <c r="Q221" s="15">
        <f xml:space="preserve"> (playerGameStats!$R221 * 2) + (playerGameStats!$S221 * 3) + (playerGameStats!$T221)</f>
        <v>10</v>
      </c>
      <c r="R221" s="15">
        <v>5</v>
      </c>
      <c r="S221" s="15">
        <v>0</v>
      </c>
      <c r="T221" s="15">
        <v>0</v>
      </c>
      <c r="U221" s="18">
        <v>0</v>
      </c>
    </row>
    <row r="222" spans="1:21" x14ac:dyDescent="0.25">
      <c r="A222" s="19" t="s">
        <v>337</v>
      </c>
      <c r="B222" s="20">
        <v>2026</v>
      </c>
      <c r="C222" s="20" t="s">
        <v>36</v>
      </c>
      <c r="D222" s="20">
        <v>3</v>
      </c>
      <c r="E222" s="21">
        <v>46135</v>
      </c>
      <c r="F222" s="22">
        <v>0.8125</v>
      </c>
      <c r="G222" s="20" t="s">
        <v>18</v>
      </c>
      <c r="H222" s="20" t="s">
        <v>310</v>
      </c>
      <c r="I222" s="20" t="s">
        <v>298</v>
      </c>
      <c r="J222" s="20" t="s">
        <v>12</v>
      </c>
      <c r="K222" s="20" t="s">
        <v>46</v>
      </c>
      <c r="L222" s="20" t="s">
        <v>11</v>
      </c>
      <c r="M222" s="20" t="s">
        <v>45</v>
      </c>
      <c r="N222" s="20" t="s">
        <v>261</v>
      </c>
      <c r="O222" s="20" t="str">
        <f>_xlfn.XLOOKUP(N222,players!A:A,players!D:D,"")</f>
        <v>Ricky Riaz</v>
      </c>
      <c r="P222" s="20" cm="1">
        <f t="array" ref="P222">_xlfn.XLOOKUP(I222&amp;N222,rosterSpots!B:B&amp;rosterSpots!D:D,rosterSpots!E:E,"")</f>
        <v>30</v>
      </c>
      <c r="Q222" s="20">
        <f xml:space="preserve"> (playerGameStats!$R222 * 2) + (playerGameStats!$S222 * 3) + (playerGameStats!$T222)</f>
        <v>0</v>
      </c>
      <c r="R222" s="20">
        <v>0</v>
      </c>
      <c r="S222" s="20">
        <v>0</v>
      </c>
      <c r="T222" s="20">
        <v>0</v>
      </c>
      <c r="U222" s="23">
        <v>0</v>
      </c>
    </row>
    <row r="223" spans="1:21" x14ac:dyDescent="0.25">
      <c r="A223" s="14" t="s">
        <v>337</v>
      </c>
      <c r="B223" s="15">
        <v>2026</v>
      </c>
      <c r="C223" s="15" t="s">
        <v>36</v>
      </c>
      <c r="D223" s="15">
        <v>3</v>
      </c>
      <c r="E223" s="16">
        <v>46135</v>
      </c>
      <c r="F223" s="17">
        <v>0.8125</v>
      </c>
      <c r="G223" s="15" t="s">
        <v>18</v>
      </c>
      <c r="H223" s="15" t="s">
        <v>310</v>
      </c>
      <c r="I223" s="15" t="s">
        <v>295</v>
      </c>
      <c r="J223" s="15" t="s">
        <v>11</v>
      </c>
      <c r="K223" s="15" t="s">
        <v>45</v>
      </c>
      <c r="L223" s="15" t="s">
        <v>12</v>
      </c>
      <c r="M223" s="15" t="s">
        <v>46</v>
      </c>
      <c r="N223" s="15" t="s">
        <v>232</v>
      </c>
      <c r="O223" s="15" t="str">
        <f>_xlfn.XLOOKUP(N223,players!A:A,players!D:D,"")</f>
        <v>Patrick Bellino</v>
      </c>
      <c r="P223" s="15" cm="1">
        <f t="array" ref="P223">_xlfn.XLOOKUP(I223&amp;N223,rosterSpots!B:B&amp;rosterSpots!D:D,rosterSpots!E:E,"")</f>
        <v>1</v>
      </c>
      <c r="Q223" s="15">
        <f xml:space="preserve"> (playerGameStats!$R223 * 2) + (playerGameStats!$S223 * 3) + (playerGameStats!$T223)</f>
        <v>2</v>
      </c>
      <c r="R223" s="15">
        <v>1</v>
      </c>
      <c r="S223" s="15">
        <v>0</v>
      </c>
      <c r="T223" s="15">
        <v>0</v>
      </c>
      <c r="U223" s="18">
        <v>0</v>
      </c>
    </row>
    <row r="224" spans="1:21" x14ac:dyDescent="0.25">
      <c r="A224" s="19" t="s">
        <v>337</v>
      </c>
      <c r="B224" s="20">
        <v>2026</v>
      </c>
      <c r="C224" s="20" t="s">
        <v>36</v>
      </c>
      <c r="D224" s="20">
        <v>3</v>
      </c>
      <c r="E224" s="21">
        <v>46135</v>
      </c>
      <c r="F224" s="22">
        <v>0.8125</v>
      </c>
      <c r="G224" s="20" t="s">
        <v>18</v>
      </c>
      <c r="H224" s="20" t="s">
        <v>310</v>
      </c>
      <c r="I224" s="20" t="s">
        <v>295</v>
      </c>
      <c r="J224" s="20" t="s">
        <v>11</v>
      </c>
      <c r="K224" s="20" t="s">
        <v>45</v>
      </c>
      <c r="L224" s="20" t="s">
        <v>12</v>
      </c>
      <c r="M224" s="20" t="s">
        <v>46</v>
      </c>
      <c r="N224" s="20" t="s">
        <v>226</v>
      </c>
      <c r="O224" s="20" t="str">
        <f>_xlfn.XLOOKUP(N224,players!A:A,players!D:D,"")</f>
        <v>Mike Ziller</v>
      </c>
      <c r="P224" s="20" cm="1">
        <f t="array" ref="P224">_xlfn.XLOOKUP(I224&amp;N224,rosterSpots!B:B&amp;rosterSpots!D:D,rosterSpots!E:E,"")</f>
        <v>2</v>
      </c>
      <c r="Q224" s="20">
        <f xml:space="preserve"> (playerGameStats!$R224 * 2) + (playerGameStats!$S224 * 3) + (playerGameStats!$T224)</f>
        <v>3</v>
      </c>
      <c r="R224" s="20">
        <v>0</v>
      </c>
      <c r="S224" s="20">
        <v>1</v>
      </c>
      <c r="T224" s="20">
        <v>0</v>
      </c>
      <c r="U224" s="23">
        <v>0</v>
      </c>
    </row>
    <row r="225" spans="1:21" x14ac:dyDescent="0.25">
      <c r="A225" s="14" t="s">
        <v>337</v>
      </c>
      <c r="B225" s="15">
        <v>2026</v>
      </c>
      <c r="C225" s="15" t="s">
        <v>36</v>
      </c>
      <c r="D225" s="15">
        <v>3</v>
      </c>
      <c r="E225" s="16">
        <v>46135</v>
      </c>
      <c r="F225" s="17">
        <v>0.8125</v>
      </c>
      <c r="G225" s="15" t="s">
        <v>18</v>
      </c>
      <c r="H225" s="15" t="s">
        <v>310</v>
      </c>
      <c r="I225" s="15" t="s">
        <v>295</v>
      </c>
      <c r="J225" s="15" t="s">
        <v>11</v>
      </c>
      <c r="K225" s="15" t="s">
        <v>45</v>
      </c>
      <c r="L225" s="15" t="s">
        <v>12</v>
      </c>
      <c r="M225" s="15" t="s">
        <v>46</v>
      </c>
      <c r="N225" s="15" t="s">
        <v>230</v>
      </c>
      <c r="O225" s="15" t="str">
        <f>_xlfn.XLOOKUP(N225,players!A:A,players!D:D,"")</f>
        <v>Angel Carrion</v>
      </c>
      <c r="P225" s="15" cm="1">
        <f t="array" ref="P225">_xlfn.XLOOKUP(I225&amp;N225,rosterSpots!B:B&amp;rosterSpots!D:D,rosterSpots!E:E,"")</f>
        <v>7</v>
      </c>
      <c r="Q225" s="15">
        <f xml:space="preserve"> (playerGameStats!$R225 * 2) + (playerGameStats!$S225 * 3) + (playerGameStats!$T225)</f>
        <v>14</v>
      </c>
      <c r="R225" s="15">
        <v>1</v>
      </c>
      <c r="S225" s="15">
        <v>4</v>
      </c>
      <c r="T225" s="15">
        <v>0</v>
      </c>
      <c r="U225" s="18">
        <v>0</v>
      </c>
    </row>
    <row r="226" spans="1:21" x14ac:dyDescent="0.25">
      <c r="A226" s="19" t="s">
        <v>337</v>
      </c>
      <c r="B226" s="20">
        <v>2026</v>
      </c>
      <c r="C226" s="20" t="s">
        <v>36</v>
      </c>
      <c r="D226" s="20">
        <v>3</v>
      </c>
      <c r="E226" s="21">
        <v>46135</v>
      </c>
      <c r="F226" s="22">
        <v>0.8125</v>
      </c>
      <c r="G226" s="20" t="s">
        <v>18</v>
      </c>
      <c r="H226" s="20" t="s">
        <v>310</v>
      </c>
      <c r="I226" s="20" t="s">
        <v>295</v>
      </c>
      <c r="J226" s="20" t="s">
        <v>11</v>
      </c>
      <c r="K226" s="20" t="s">
        <v>45</v>
      </c>
      <c r="L226" s="20" t="s">
        <v>12</v>
      </c>
      <c r="M226" s="20" t="s">
        <v>46</v>
      </c>
      <c r="N226" s="20" t="s">
        <v>307</v>
      </c>
      <c r="O226" s="20" t="str">
        <f>_xlfn.XLOOKUP(N226,players!A:A,players!D:D,"")</f>
        <v>Thomas Nasto</v>
      </c>
      <c r="P226" s="20" cm="1">
        <f t="array" ref="P226">_xlfn.XLOOKUP(I226&amp;N226,rosterSpots!B:B&amp;rosterSpots!D:D,rosterSpots!E:E,"")</f>
        <v>9</v>
      </c>
      <c r="Q226" s="20">
        <f xml:space="preserve"> (playerGameStats!$R226 * 2) + (playerGameStats!$S226 * 3) + (playerGameStats!$T226)</f>
        <v>7</v>
      </c>
      <c r="R226" s="20">
        <v>3</v>
      </c>
      <c r="S226" s="20">
        <v>0</v>
      </c>
      <c r="T226" s="20">
        <v>1</v>
      </c>
      <c r="U226" s="23">
        <v>3</v>
      </c>
    </row>
    <row r="227" spans="1:21" x14ac:dyDescent="0.25">
      <c r="A227" s="14" t="s">
        <v>337</v>
      </c>
      <c r="B227" s="15">
        <v>2026</v>
      </c>
      <c r="C227" s="15" t="s">
        <v>36</v>
      </c>
      <c r="D227" s="15">
        <v>3</v>
      </c>
      <c r="E227" s="16">
        <v>46135</v>
      </c>
      <c r="F227" s="17">
        <v>0.8125</v>
      </c>
      <c r="G227" s="15" t="s">
        <v>18</v>
      </c>
      <c r="H227" s="15" t="s">
        <v>310</v>
      </c>
      <c r="I227" s="15" t="s">
        <v>295</v>
      </c>
      <c r="J227" s="15" t="s">
        <v>11</v>
      </c>
      <c r="K227" s="15" t="s">
        <v>45</v>
      </c>
      <c r="L227" s="15" t="s">
        <v>12</v>
      </c>
      <c r="M227" s="15" t="s">
        <v>46</v>
      </c>
      <c r="N227" s="15" t="s">
        <v>228</v>
      </c>
      <c r="O227" s="15" t="str">
        <f>_xlfn.XLOOKUP(N227,players!A:A,players!D:D,"")</f>
        <v>Scott Brusseler</v>
      </c>
      <c r="P227" s="15" cm="1">
        <f t="array" ref="P227">_xlfn.XLOOKUP(I227&amp;N227,rosterSpots!B:B&amp;rosterSpots!D:D,rosterSpots!E:E,"")</f>
        <v>14</v>
      </c>
      <c r="Q227" s="15">
        <f xml:space="preserve"> (playerGameStats!$R227 * 2) + (playerGameStats!$S227 * 3) + (playerGameStats!$T227)</f>
        <v>5</v>
      </c>
      <c r="R227" s="15">
        <v>1</v>
      </c>
      <c r="S227" s="15">
        <v>1</v>
      </c>
      <c r="T227" s="15">
        <v>0</v>
      </c>
      <c r="U227" s="18">
        <v>0</v>
      </c>
    </row>
    <row r="228" spans="1:21" x14ac:dyDescent="0.25">
      <c r="A228" s="19" t="s">
        <v>337</v>
      </c>
      <c r="B228" s="20">
        <v>2026</v>
      </c>
      <c r="C228" s="20" t="s">
        <v>36</v>
      </c>
      <c r="D228" s="20">
        <v>3</v>
      </c>
      <c r="E228" s="21">
        <v>46135</v>
      </c>
      <c r="F228" s="22">
        <v>0.8125</v>
      </c>
      <c r="G228" s="20" t="s">
        <v>18</v>
      </c>
      <c r="H228" s="20" t="s">
        <v>310</v>
      </c>
      <c r="I228" s="20" t="s">
        <v>295</v>
      </c>
      <c r="J228" s="20" t="s">
        <v>11</v>
      </c>
      <c r="K228" s="20" t="s">
        <v>45</v>
      </c>
      <c r="L228" s="20" t="s">
        <v>12</v>
      </c>
      <c r="M228" s="20" t="s">
        <v>46</v>
      </c>
      <c r="N228" s="20" t="s">
        <v>225</v>
      </c>
      <c r="O228" s="20" t="str">
        <f>_xlfn.XLOOKUP(N228,players!A:A,players!D:D,"")</f>
        <v>Chris Clemente</v>
      </c>
      <c r="P228" s="20" cm="1">
        <f t="array" ref="P228">_xlfn.XLOOKUP(I228&amp;N228,rosterSpots!B:B&amp;rosterSpots!D:D,rosterSpots!E:E,"")</f>
        <v>21</v>
      </c>
      <c r="Q228" s="20">
        <f xml:space="preserve"> (playerGameStats!$R228 * 2) + (playerGameStats!$S228 * 3) + (playerGameStats!$T228)</f>
        <v>9</v>
      </c>
      <c r="R228" s="20">
        <v>0</v>
      </c>
      <c r="S228" s="20">
        <v>3</v>
      </c>
      <c r="T228" s="20">
        <v>0</v>
      </c>
      <c r="U228" s="23">
        <v>0</v>
      </c>
    </row>
    <row r="229" spans="1:21" x14ac:dyDescent="0.25">
      <c r="A229" s="14" t="s">
        <v>337</v>
      </c>
      <c r="B229" s="15">
        <v>2026</v>
      </c>
      <c r="C229" s="15" t="s">
        <v>36</v>
      </c>
      <c r="D229" s="15">
        <v>3</v>
      </c>
      <c r="E229" s="16">
        <v>46135</v>
      </c>
      <c r="F229" s="17">
        <v>0.8125</v>
      </c>
      <c r="G229" s="15" t="s">
        <v>18</v>
      </c>
      <c r="H229" s="15" t="s">
        <v>310</v>
      </c>
      <c r="I229" s="15" t="s">
        <v>295</v>
      </c>
      <c r="J229" s="15" t="s">
        <v>11</v>
      </c>
      <c r="K229" s="15" t="s">
        <v>45</v>
      </c>
      <c r="L229" s="15" t="s">
        <v>12</v>
      </c>
      <c r="M229" s="15" t="s">
        <v>46</v>
      </c>
      <c r="N229" s="15" t="s">
        <v>231</v>
      </c>
      <c r="O229" s="15" t="str">
        <f>_xlfn.XLOOKUP(N229,players!A:A,players!D:D,"")</f>
        <v>Gates Brooks</v>
      </c>
      <c r="P229" s="15" cm="1">
        <f t="array" ref="P229">_xlfn.XLOOKUP(I229&amp;N229,rosterSpots!B:B&amp;rosterSpots!D:D,rosterSpots!E:E,"")</f>
        <v>43</v>
      </c>
      <c r="Q229" s="15">
        <f xml:space="preserve"> (playerGameStats!$R229 * 2) + (playerGameStats!$S229 * 3) + (playerGameStats!$T229)</f>
        <v>0</v>
      </c>
      <c r="R229" s="15">
        <v>0</v>
      </c>
      <c r="S229" s="15">
        <v>0</v>
      </c>
      <c r="T229" s="15">
        <v>0</v>
      </c>
      <c r="U229" s="18">
        <v>0</v>
      </c>
    </row>
    <row r="230" spans="1:21" x14ac:dyDescent="0.25">
      <c r="A230" s="19" t="s">
        <v>337</v>
      </c>
      <c r="B230" s="20">
        <v>2026</v>
      </c>
      <c r="C230" s="20" t="s">
        <v>36</v>
      </c>
      <c r="D230" s="20">
        <v>3</v>
      </c>
      <c r="E230" s="21">
        <v>46135</v>
      </c>
      <c r="F230" s="22">
        <v>0.8125</v>
      </c>
      <c r="G230" s="20" t="s">
        <v>18</v>
      </c>
      <c r="H230" s="20" t="s">
        <v>310</v>
      </c>
      <c r="I230" s="20" t="s">
        <v>295</v>
      </c>
      <c r="J230" s="20" t="s">
        <v>11</v>
      </c>
      <c r="K230" s="20" t="s">
        <v>45</v>
      </c>
      <c r="L230" s="20" t="s">
        <v>12</v>
      </c>
      <c r="M230" s="20" t="s">
        <v>46</v>
      </c>
      <c r="N230" s="20" t="s">
        <v>229</v>
      </c>
      <c r="O230" s="20" t="str">
        <f>_xlfn.XLOOKUP(N230,players!A:A,players!D:D,"")</f>
        <v>Anthony Shelepets</v>
      </c>
      <c r="P230" s="20" cm="1">
        <f t="array" ref="P230">_xlfn.XLOOKUP(I230&amp;N230,rosterSpots!B:B&amp;rosterSpots!D:D,rosterSpots!E:E,"")</f>
        <v>53</v>
      </c>
      <c r="Q230" s="20">
        <f xml:space="preserve"> (playerGameStats!$R230 * 2) + (playerGameStats!$S230 * 3) + (playerGameStats!$T230)</f>
        <v>26</v>
      </c>
      <c r="R230" s="20">
        <v>13</v>
      </c>
      <c r="S230" s="20">
        <v>0</v>
      </c>
      <c r="T230" s="20">
        <v>0</v>
      </c>
      <c r="U230" s="23">
        <v>0</v>
      </c>
    </row>
    <row r="231" spans="1:21" x14ac:dyDescent="0.25">
      <c r="A231" s="14" t="s">
        <v>336</v>
      </c>
      <c r="B231" s="15">
        <v>2026</v>
      </c>
      <c r="C231" s="15" t="s">
        <v>36</v>
      </c>
      <c r="D231" s="15">
        <v>3</v>
      </c>
      <c r="E231" s="16">
        <v>46135</v>
      </c>
      <c r="F231" s="17">
        <v>0.85416666666666663</v>
      </c>
      <c r="G231" s="15" t="s">
        <v>18</v>
      </c>
      <c r="H231" s="15" t="s">
        <v>310</v>
      </c>
      <c r="I231" s="15" t="s">
        <v>299</v>
      </c>
      <c r="J231" s="15" t="s">
        <v>14</v>
      </c>
      <c r="K231" s="15" t="s">
        <v>43</v>
      </c>
      <c r="L231" s="15" t="s">
        <v>16</v>
      </c>
      <c r="M231" s="15" t="s">
        <v>44</v>
      </c>
      <c r="N231" s="15" t="s">
        <v>268</v>
      </c>
      <c r="O231" s="15" t="str">
        <f>_xlfn.XLOOKUP(N231,players!A:A,players!D:D,"")</f>
        <v>Bassang Atoulelou</v>
      </c>
      <c r="P231" s="15" cm="1">
        <f t="array" ref="P231">_xlfn.XLOOKUP(I231&amp;N231,rosterSpots!B:B&amp;rosterSpots!D:D,rosterSpots!E:E,"")</f>
        <v>2</v>
      </c>
      <c r="Q231" s="15">
        <f xml:space="preserve"> (playerGameStats!$R231 * 2) + (playerGameStats!$S231 * 3) + (playerGameStats!$T231)</f>
        <v>5</v>
      </c>
      <c r="R231" s="15">
        <v>1</v>
      </c>
      <c r="S231" s="15">
        <v>1</v>
      </c>
      <c r="T231" s="15">
        <v>0</v>
      </c>
      <c r="U231" s="18">
        <v>0</v>
      </c>
    </row>
    <row r="232" spans="1:21" x14ac:dyDescent="0.25">
      <c r="A232" s="19" t="s">
        <v>336</v>
      </c>
      <c r="B232" s="20">
        <v>2026</v>
      </c>
      <c r="C232" s="20" t="s">
        <v>36</v>
      </c>
      <c r="D232" s="20">
        <v>3</v>
      </c>
      <c r="E232" s="21">
        <v>46135</v>
      </c>
      <c r="F232" s="22">
        <v>0.85416666666666663</v>
      </c>
      <c r="G232" s="20" t="s">
        <v>18</v>
      </c>
      <c r="H232" s="20" t="s">
        <v>310</v>
      </c>
      <c r="I232" s="20" t="s">
        <v>299</v>
      </c>
      <c r="J232" s="20" t="s">
        <v>14</v>
      </c>
      <c r="K232" s="20" t="s">
        <v>43</v>
      </c>
      <c r="L232" s="20" t="s">
        <v>16</v>
      </c>
      <c r="M232" s="20" t="s">
        <v>44</v>
      </c>
      <c r="N232" s="20" t="s">
        <v>267</v>
      </c>
      <c r="O232" s="20" t="str">
        <f>_xlfn.XLOOKUP(N232,players!A:A,players!D:D,"")</f>
        <v>Keshon Coleman</v>
      </c>
      <c r="P232" s="20" cm="1">
        <f t="array" ref="P232">_xlfn.XLOOKUP(I232&amp;N232,rosterSpots!B:B&amp;rosterSpots!D:D,rosterSpots!E:E,"")</f>
        <v>4</v>
      </c>
      <c r="Q232" s="20">
        <f xml:space="preserve"> (playerGameStats!$R232 * 2) + (playerGameStats!$S232 * 3) + (playerGameStats!$T232)</f>
        <v>18</v>
      </c>
      <c r="R232" s="20">
        <v>0</v>
      </c>
      <c r="S232" s="20">
        <v>6</v>
      </c>
      <c r="T232" s="20">
        <v>0</v>
      </c>
      <c r="U232" s="23">
        <v>0</v>
      </c>
    </row>
    <row r="233" spans="1:21" x14ac:dyDescent="0.25">
      <c r="A233" s="14" t="s">
        <v>336</v>
      </c>
      <c r="B233" s="15">
        <v>2026</v>
      </c>
      <c r="C233" s="15" t="s">
        <v>36</v>
      </c>
      <c r="D233" s="15">
        <v>3</v>
      </c>
      <c r="E233" s="16">
        <v>46135</v>
      </c>
      <c r="F233" s="17">
        <v>0.85416666666666663</v>
      </c>
      <c r="G233" s="15" t="s">
        <v>18</v>
      </c>
      <c r="H233" s="15" t="s">
        <v>310</v>
      </c>
      <c r="I233" s="15" t="s">
        <v>299</v>
      </c>
      <c r="J233" s="15" t="s">
        <v>14</v>
      </c>
      <c r="K233" s="15" t="s">
        <v>43</v>
      </c>
      <c r="L233" s="15" t="s">
        <v>16</v>
      </c>
      <c r="M233" s="15" t="s">
        <v>44</v>
      </c>
      <c r="N233" s="15" t="s">
        <v>264</v>
      </c>
      <c r="O233" s="15" t="str">
        <f>_xlfn.XLOOKUP(N233,players!A:A,players!D:D,"")</f>
        <v/>
      </c>
      <c r="P233" s="15" cm="1">
        <f t="array" ref="P233">_xlfn.XLOOKUP(I233&amp;N233,rosterSpots!B:B&amp;rosterSpots!D:D,rosterSpots!E:E,"")</f>
        <v>6</v>
      </c>
      <c r="Q233" s="15">
        <f xml:space="preserve"> (playerGameStats!$R233 * 2) + (playerGameStats!$S233 * 3) + (playerGameStats!$T233)</f>
        <v>14</v>
      </c>
      <c r="R233" s="15">
        <v>3</v>
      </c>
      <c r="S233" s="15">
        <v>2</v>
      </c>
      <c r="T233" s="15">
        <v>2</v>
      </c>
      <c r="U233" s="18">
        <v>2</v>
      </c>
    </row>
    <row r="234" spans="1:21" x14ac:dyDescent="0.25">
      <c r="A234" s="19" t="s">
        <v>336</v>
      </c>
      <c r="B234" s="20">
        <v>2026</v>
      </c>
      <c r="C234" s="20" t="s">
        <v>36</v>
      </c>
      <c r="D234" s="20">
        <v>3</v>
      </c>
      <c r="E234" s="21">
        <v>46135</v>
      </c>
      <c r="F234" s="22">
        <v>0.85416666666666663</v>
      </c>
      <c r="G234" s="20" t="s">
        <v>18</v>
      </c>
      <c r="H234" s="20" t="s">
        <v>310</v>
      </c>
      <c r="I234" s="20" t="s">
        <v>299</v>
      </c>
      <c r="J234" s="20" t="s">
        <v>14</v>
      </c>
      <c r="K234" s="20" t="s">
        <v>43</v>
      </c>
      <c r="L234" s="20" t="s">
        <v>16</v>
      </c>
      <c r="M234" s="20" t="s">
        <v>44</v>
      </c>
      <c r="N234" s="20" t="s">
        <v>270</v>
      </c>
      <c r="O234" s="20" t="str">
        <f>_xlfn.XLOOKUP(N234,players!A:A,players!D:D,"")</f>
        <v>Thomas Lynen</v>
      </c>
      <c r="P234" s="20" cm="1">
        <f t="array" ref="P234">_xlfn.XLOOKUP(I234&amp;N234,rosterSpots!B:B&amp;rosterSpots!D:D,rosterSpots!E:E,"")</f>
        <v>7</v>
      </c>
      <c r="Q234" s="20">
        <f xml:space="preserve"> (playerGameStats!$R234 * 2) + (playerGameStats!$S234 * 3) + (playerGameStats!$T234)</f>
        <v>10</v>
      </c>
      <c r="R234" s="20">
        <v>4</v>
      </c>
      <c r="S234" s="20">
        <v>0</v>
      </c>
      <c r="T234" s="20">
        <v>2</v>
      </c>
      <c r="U234" s="23">
        <v>2</v>
      </c>
    </row>
    <row r="235" spans="1:21" x14ac:dyDescent="0.25">
      <c r="A235" s="14" t="s">
        <v>336</v>
      </c>
      <c r="B235" s="15">
        <v>2026</v>
      </c>
      <c r="C235" s="15" t="s">
        <v>36</v>
      </c>
      <c r="D235" s="15">
        <v>3</v>
      </c>
      <c r="E235" s="16">
        <v>46135</v>
      </c>
      <c r="F235" s="17">
        <v>0.85416666666666663</v>
      </c>
      <c r="G235" s="15" t="s">
        <v>18</v>
      </c>
      <c r="H235" s="15" t="s">
        <v>310</v>
      </c>
      <c r="I235" s="15" t="s">
        <v>299</v>
      </c>
      <c r="J235" s="15" t="s">
        <v>14</v>
      </c>
      <c r="K235" s="15" t="s">
        <v>43</v>
      </c>
      <c r="L235" s="15" t="s">
        <v>16</v>
      </c>
      <c r="M235" s="15" t="s">
        <v>44</v>
      </c>
      <c r="N235" s="15" t="s">
        <v>266</v>
      </c>
      <c r="O235" s="15" t="str">
        <f>_xlfn.XLOOKUP(N235,players!A:A,players!D:D,"")</f>
        <v>Ian McCaw</v>
      </c>
      <c r="P235" s="15" cm="1">
        <f t="array" ref="P235">_xlfn.XLOOKUP(I235&amp;N235,rosterSpots!B:B&amp;rosterSpots!D:D,rosterSpots!E:E,"")</f>
        <v>50</v>
      </c>
      <c r="Q235" s="15">
        <f xml:space="preserve"> (playerGameStats!$R235 * 2) + (playerGameStats!$S235 * 3) + (playerGameStats!$T235)</f>
        <v>7</v>
      </c>
      <c r="R235" s="15">
        <v>3</v>
      </c>
      <c r="S235" s="15">
        <v>0</v>
      </c>
      <c r="T235" s="15">
        <v>1</v>
      </c>
      <c r="U235" s="18">
        <v>2</v>
      </c>
    </row>
    <row r="236" spans="1:21" x14ac:dyDescent="0.25">
      <c r="A236" s="19" t="s">
        <v>336</v>
      </c>
      <c r="B236" s="20">
        <v>2026</v>
      </c>
      <c r="C236" s="20" t="s">
        <v>36</v>
      </c>
      <c r="D236" s="20">
        <v>3</v>
      </c>
      <c r="E236" s="21">
        <v>46135</v>
      </c>
      <c r="F236" s="22">
        <v>0.85416666666666663</v>
      </c>
      <c r="G236" s="20" t="s">
        <v>18</v>
      </c>
      <c r="H236" s="20" t="s">
        <v>310</v>
      </c>
      <c r="I236" s="20" t="s">
        <v>300</v>
      </c>
      <c r="J236" s="20" t="s">
        <v>16</v>
      </c>
      <c r="K236" s="20" t="s">
        <v>44</v>
      </c>
      <c r="L236" s="20" t="s">
        <v>14</v>
      </c>
      <c r="M236" s="20" t="s">
        <v>43</v>
      </c>
      <c r="N236" s="20" t="s">
        <v>281</v>
      </c>
      <c r="O236" s="20" t="str">
        <f>_xlfn.XLOOKUP(N236,players!A:A,players!D:D,"")</f>
        <v>Tommy Zheng</v>
      </c>
      <c r="P236" s="20" cm="1">
        <f t="array" ref="P236">_xlfn.XLOOKUP(I236&amp;N236,rosterSpots!B:B&amp;rosterSpots!D:D,rosterSpots!E:E,"")</f>
        <v>5</v>
      </c>
      <c r="Q236" s="20">
        <f xml:space="preserve"> (playerGameStats!$R236 * 2) + (playerGameStats!$S236 * 3) + (playerGameStats!$T236)</f>
        <v>0</v>
      </c>
      <c r="R236" s="20">
        <v>0</v>
      </c>
      <c r="S236" s="20">
        <v>0</v>
      </c>
      <c r="T236" s="20">
        <v>0</v>
      </c>
      <c r="U236" s="23">
        <v>0</v>
      </c>
    </row>
    <row r="237" spans="1:21" x14ac:dyDescent="0.25">
      <c r="A237" s="14" t="s">
        <v>336</v>
      </c>
      <c r="B237" s="15">
        <v>2026</v>
      </c>
      <c r="C237" s="15" t="s">
        <v>36</v>
      </c>
      <c r="D237" s="15">
        <v>3</v>
      </c>
      <c r="E237" s="16">
        <v>46135</v>
      </c>
      <c r="F237" s="17">
        <v>0.85416666666666663</v>
      </c>
      <c r="G237" s="15" t="s">
        <v>18</v>
      </c>
      <c r="H237" s="15" t="s">
        <v>310</v>
      </c>
      <c r="I237" s="15" t="s">
        <v>300</v>
      </c>
      <c r="J237" s="15" t="s">
        <v>16</v>
      </c>
      <c r="K237" s="15" t="s">
        <v>44</v>
      </c>
      <c r="L237" s="15" t="s">
        <v>14</v>
      </c>
      <c r="M237" s="15" t="s">
        <v>43</v>
      </c>
      <c r="N237" s="15" t="s">
        <v>276</v>
      </c>
      <c r="O237" s="15" t="str">
        <f>_xlfn.XLOOKUP(N237,players!A:A,players!D:D,"")</f>
        <v>Matt Kasper</v>
      </c>
      <c r="P237" s="15" cm="1">
        <f t="array" ref="P237">_xlfn.XLOOKUP(I237&amp;N237,rosterSpots!B:B&amp;rosterSpots!D:D,rosterSpots!E:E,"")</f>
        <v>7</v>
      </c>
      <c r="Q237" s="15">
        <f xml:space="preserve"> (playerGameStats!$R237 * 2) + (playerGameStats!$S237 * 3) + (playerGameStats!$T237)</f>
        <v>5</v>
      </c>
      <c r="R237" s="15">
        <v>2</v>
      </c>
      <c r="S237" s="15">
        <v>0</v>
      </c>
      <c r="T237" s="15">
        <v>1</v>
      </c>
      <c r="U237" s="18">
        <v>1</v>
      </c>
    </row>
    <row r="238" spans="1:21" x14ac:dyDescent="0.25">
      <c r="A238" s="19" t="s">
        <v>336</v>
      </c>
      <c r="B238" s="20">
        <v>2026</v>
      </c>
      <c r="C238" s="20" t="s">
        <v>36</v>
      </c>
      <c r="D238" s="20">
        <v>3</v>
      </c>
      <c r="E238" s="21">
        <v>46135</v>
      </c>
      <c r="F238" s="22">
        <v>0.85416666666666663</v>
      </c>
      <c r="G238" s="20" t="s">
        <v>18</v>
      </c>
      <c r="H238" s="20" t="s">
        <v>310</v>
      </c>
      <c r="I238" s="20" t="s">
        <v>300</v>
      </c>
      <c r="J238" s="20" t="s">
        <v>16</v>
      </c>
      <c r="K238" s="20" t="s">
        <v>44</v>
      </c>
      <c r="L238" s="20" t="s">
        <v>14</v>
      </c>
      <c r="M238" s="20" t="s">
        <v>43</v>
      </c>
      <c r="N238" s="20" t="s">
        <v>282</v>
      </c>
      <c r="O238" s="20" t="str">
        <f>_xlfn.XLOOKUP(N238,players!A:A,players!D:D,"")</f>
        <v>Guillermo Jacquez</v>
      </c>
      <c r="P238" s="20" cm="1">
        <f t="array" ref="P238">_xlfn.XLOOKUP(I238&amp;N238,rosterSpots!B:B&amp;rosterSpots!D:D,rosterSpots!E:E,"")</f>
        <v>13</v>
      </c>
      <c r="Q238" s="20">
        <f xml:space="preserve"> (playerGameStats!$R238 * 2) + (playerGameStats!$S238 * 3) + (playerGameStats!$T238)</f>
        <v>8</v>
      </c>
      <c r="R238" s="20">
        <v>4</v>
      </c>
      <c r="S238" s="20">
        <v>0</v>
      </c>
      <c r="T238" s="20">
        <v>0</v>
      </c>
      <c r="U238" s="23">
        <v>0</v>
      </c>
    </row>
    <row r="239" spans="1:21" x14ac:dyDescent="0.25">
      <c r="A239" s="14" t="s">
        <v>336</v>
      </c>
      <c r="B239" s="15">
        <v>2026</v>
      </c>
      <c r="C239" s="15" t="s">
        <v>36</v>
      </c>
      <c r="D239" s="15">
        <v>3</v>
      </c>
      <c r="E239" s="16">
        <v>46135</v>
      </c>
      <c r="F239" s="17">
        <v>0.85416666666666663</v>
      </c>
      <c r="G239" s="15" t="s">
        <v>18</v>
      </c>
      <c r="H239" s="15" t="s">
        <v>310</v>
      </c>
      <c r="I239" s="15" t="s">
        <v>300</v>
      </c>
      <c r="J239" s="15" t="s">
        <v>16</v>
      </c>
      <c r="K239" s="15" t="s">
        <v>44</v>
      </c>
      <c r="L239" s="15" t="s">
        <v>14</v>
      </c>
      <c r="M239" s="15" t="s">
        <v>43</v>
      </c>
      <c r="N239" s="15" t="s">
        <v>274</v>
      </c>
      <c r="O239" s="15" t="str">
        <f>_xlfn.XLOOKUP(N239,players!A:A,players!D:D,"")</f>
        <v>David Hays</v>
      </c>
      <c r="P239" s="15" cm="1">
        <f t="array" ref="P239">_xlfn.XLOOKUP(I239&amp;N239,rosterSpots!B:B&amp;rosterSpots!D:D,rosterSpots!E:E,"")</f>
        <v>17</v>
      </c>
      <c r="Q239" s="15">
        <f xml:space="preserve"> (playerGameStats!$R239 * 2) + (playerGameStats!$S239 * 3) + (playerGameStats!$T239)</f>
        <v>0</v>
      </c>
      <c r="R239" s="15">
        <v>0</v>
      </c>
      <c r="S239" s="15">
        <v>0</v>
      </c>
      <c r="T239" s="15">
        <v>0</v>
      </c>
      <c r="U239" s="18">
        <v>0</v>
      </c>
    </row>
    <row r="240" spans="1:21" x14ac:dyDescent="0.25">
      <c r="A240" s="19" t="s">
        <v>336</v>
      </c>
      <c r="B240" s="20">
        <v>2026</v>
      </c>
      <c r="C240" s="20" t="s">
        <v>36</v>
      </c>
      <c r="D240" s="20">
        <v>3</v>
      </c>
      <c r="E240" s="21">
        <v>46135</v>
      </c>
      <c r="F240" s="22">
        <v>0.85416666666666663</v>
      </c>
      <c r="G240" s="20" t="s">
        <v>18</v>
      </c>
      <c r="H240" s="20" t="s">
        <v>310</v>
      </c>
      <c r="I240" s="20" t="s">
        <v>300</v>
      </c>
      <c r="J240" s="20" t="s">
        <v>16</v>
      </c>
      <c r="K240" s="20" t="s">
        <v>44</v>
      </c>
      <c r="L240" s="20" t="s">
        <v>14</v>
      </c>
      <c r="M240" s="20" t="s">
        <v>43</v>
      </c>
      <c r="N240" s="20" t="s">
        <v>279</v>
      </c>
      <c r="O240" s="20" t="str">
        <f>_xlfn.XLOOKUP(N240,players!A:A,players!D:D,"")</f>
        <v>Jose Toledo</v>
      </c>
      <c r="P240" s="20" cm="1">
        <f t="array" ref="P240">_xlfn.XLOOKUP(I240&amp;N240,rosterSpots!B:B&amp;rosterSpots!D:D,rosterSpots!E:E,"")</f>
        <v>25</v>
      </c>
      <c r="Q240" s="20">
        <f xml:space="preserve"> (playerGameStats!$R240 * 2) + (playerGameStats!$S240 * 3) + (playerGameStats!$T240)</f>
        <v>16</v>
      </c>
      <c r="R240" s="20">
        <v>5</v>
      </c>
      <c r="S240" s="20">
        <v>2</v>
      </c>
      <c r="T240" s="20">
        <v>0</v>
      </c>
      <c r="U240" s="23">
        <v>0</v>
      </c>
    </row>
    <row r="241" spans="1:21" x14ac:dyDescent="0.25">
      <c r="A241" s="14" t="s">
        <v>336</v>
      </c>
      <c r="B241" s="15">
        <v>2026</v>
      </c>
      <c r="C241" s="15" t="s">
        <v>36</v>
      </c>
      <c r="D241" s="15">
        <v>3</v>
      </c>
      <c r="E241" s="16">
        <v>46135</v>
      </c>
      <c r="F241" s="17">
        <v>0.85416666666666663</v>
      </c>
      <c r="G241" s="15" t="s">
        <v>18</v>
      </c>
      <c r="H241" s="15" t="s">
        <v>310</v>
      </c>
      <c r="I241" s="15" t="s">
        <v>300</v>
      </c>
      <c r="J241" s="15" t="s">
        <v>16</v>
      </c>
      <c r="K241" s="15" t="s">
        <v>44</v>
      </c>
      <c r="L241" s="15" t="s">
        <v>14</v>
      </c>
      <c r="M241" s="15" t="s">
        <v>43</v>
      </c>
      <c r="N241" s="15" t="s">
        <v>280</v>
      </c>
      <c r="O241" s="15" t="str">
        <f>_xlfn.XLOOKUP(N241,players!A:A,players!D:D,"")</f>
        <v>Russel Verceles</v>
      </c>
      <c r="P241" s="15" cm="1">
        <f t="array" ref="P241">_xlfn.XLOOKUP(I241&amp;N241,rosterSpots!B:B&amp;rosterSpots!D:D,rosterSpots!E:E,"")</f>
        <v>32</v>
      </c>
      <c r="Q241" s="15">
        <f xml:space="preserve"> (playerGameStats!$R241 * 2) + (playerGameStats!$S241 * 3) + (playerGameStats!$T241)</f>
        <v>16</v>
      </c>
      <c r="R241" s="15">
        <v>8</v>
      </c>
      <c r="S241" s="15">
        <v>0</v>
      </c>
      <c r="T241" s="15">
        <v>0</v>
      </c>
      <c r="U241" s="18">
        <v>0</v>
      </c>
    </row>
    <row r="242" spans="1:21" x14ac:dyDescent="0.25">
      <c r="A242" s="19" t="s">
        <v>335</v>
      </c>
      <c r="B242" s="20">
        <v>2026</v>
      </c>
      <c r="C242" s="20" t="s">
        <v>36</v>
      </c>
      <c r="D242" s="20">
        <v>4</v>
      </c>
      <c r="E242" s="21">
        <v>46140</v>
      </c>
      <c r="F242" s="22">
        <v>0.77083333333333337</v>
      </c>
      <c r="G242" s="20" t="s">
        <v>18</v>
      </c>
      <c r="H242" s="20" t="s">
        <v>310</v>
      </c>
      <c r="I242" s="20" t="s">
        <v>296</v>
      </c>
      <c r="J242" s="20" t="s">
        <v>15</v>
      </c>
      <c r="K242" s="20" t="s">
        <v>48</v>
      </c>
      <c r="L242" s="20" t="s">
        <v>17</v>
      </c>
      <c r="M242" s="20" t="s">
        <v>49</v>
      </c>
      <c r="N242" s="20" t="s">
        <v>238</v>
      </c>
      <c r="O242" s="20" t="str">
        <f>_xlfn.XLOOKUP(N242,players!A:A,players!D:D,"")</f>
        <v>Derin Sweeney</v>
      </c>
      <c r="P242" s="20" cm="1">
        <f t="array" ref="P242">_xlfn.XLOOKUP(I242&amp;N242,rosterSpots!B:B&amp;rosterSpots!D:D,rosterSpots!E:E,"")</f>
        <v>0</v>
      </c>
      <c r="Q242" s="20">
        <f xml:space="preserve"> (playerGameStats!$R242 * 2) + (playerGameStats!$S242 * 3) + (playerGameStats!$T242)</f>
        <v>13</v>
      </c>
      <c r="R242" s="20">
        <v>2</v>
      </c>
      <c r="S242" s="20">
        <v>3</v>
      </c>
      <c r="T242" s="20">
        <v>0</v>
      </c>
      <c r="U242" s="23">
        <v>0</v>
      </c>
    </row>
    <row r="243" spans="1:21" x14ac:dyDescent="0.25">
      <c r="A243" s="14" t="s">
        <v>335</v>
      </c>
      <c r="B243" s="15">
        <v>2026</v>
      </c>
      <c r="C243" s="15" t="s">
        <v>36</v>
      </c>
      <c r="D243" s="15">
        <v>4</v>
      </c>
      <c r="E243" s="16">
        <v>46140</v>
      </c>
      <c r="F243" s="17">
        <v>0.77083333333333337</v>
      </c>
      <c r="G243" s="15" t="s">
        <v>18</v>
      </c>
      <c r="H243" s="15" t="s">
        <v>310</v>
      </c>
      <c r="I243" s="15" t="s">
        <v>296</v>
      </c>
      <c r="J243" s="15" t="s">
        <v>15</v>
      </c>
      <c r="K243" s="15" t="s">
        <v>48</v>
      </c>
      <c r="L243" s="15" t="s">
        <v>17</v>
      </c>
      <c r="M243" s="15" t="s">
        <v>49</v>
      </c>
      <c r="N243" s="15" t="s">
        <v>243</v>
      </c>
      <c r="O243" s="15" t="str">
        <f>_xlfn.XLOOKUP(N243,players!A:A,players!D:D,"")</f>
        <v>Donald Owens</v>
      </c>
      <c r="P243" s="15" cm="1">
        <f t="array" ref="P243">_xlfn.XLOOKUP(I243&amp;N243,rosterSpots!B:B&amp;rosterSpots!D:D,rosterSpots!E:E,"")</f>
        <v>11</v>
      </c>
      <c r="Q243" s="15">
        <f xml:space="preserve"> (playerGameStats!$R243 * 2) + (playerGameStats!$S243 * 3) + (playerGameStats!$T243)</f>
        <v>9</v>
      </c>
      <c r="R243" s="15">
        <v>3</v>
      </c>
      <c r="S243" s="15">
        <v>1</v>
      </c>
      <c r="T243" s="15">
        <v>0</v>
      </c>
      <c r="U243" s="18">
        <v>0</v>
      </c>
    </row>
    <row r="244" spans="1:21" x14ac:dyDescent="0.25">
      <c r="A244" s="19" t="s">
        <v>335</v>
      </c>
      <c r="B244" s="20">
        <v>2026</v>
      </c>
      <c r="C244" s="20" t="s">
        <v>36</v>
      </c>
      <c r="D244" s="20">
        <v>4</v>
      </c>
      <c r="E244" s="21">
        <v>46140</v>
      </c>
      <c r="F244" s="22">
        <v>0.77083333333333337</v>
      </c>
      <c r="G244" s="20" t="s">
        <v>18</v>
      </c>
      <c r="H244" s="20" t="s">
        <v>310</v>
      </c>
      <c r="I244" s="20" t="s">
        <v>296</v>
      </c>
      <c r="J244" s="20" t="s">
        <v>15</v>
      </c>
      <c r="K244" s="20" t="s">
        <v>48</v>
      </c>
      <c r="L244" s="20" t="s">
        <v>17</v>
      </c>
      <c r="M244" s="20" t="s">
        <v>49</v>
      </c>
      <c r="N244" s="20" t="s">
        <v>237</v>
      </c>
      <c r="O244" s="20" t="str">
        <f>_xlfn.XLOOKUP(N244,players!A:A,players!D:D,"")</f>
        <v>Zach Rollman</v>
      </c>
      <c r="P244" s="20" cm="1">
        <f t="array" ref="P244">_xlfn.XLOOKUP(I244&amp;N244,rosterSpots!B:B&amp;rosterSpots!D:D,rosterSpots!E:E,"")</f>
        <v>13</v>
      </c>
      <c r="Q244" s="20">
        <f xml:space="preserve"> (playerGameStats!$R244 * 2) + (playerGameStats!$S244 * 3) + (playerGameStats!$T244)</f>
        <v>14</v>
      </c>
      <c r="R244" s="20">
        <v>4</v>
      </c>
      <c r="S244" s="20">
        <v>2</v>
      </c>
      <c r="T244" s="20">
        <v>0</v>
      </c>
      <c r="U244" s="23">
        <v>1</v>
      </c>
    </row>
    <row r="245" spans="1:21" x14ac:dyDescent="0.25">
      <c r="A245" s="14" t="s">
        <v>335</v>
      </c>
      <c r="B245" s="15">
        <v>2026</v>
      </c>
      <c r="C245" s="15" t="s">
        <v>36</v>
      </c>
      <c r="D245" s="15">
        <v>4</v>
      </c>
      <c r="E245" s="16">
        <v>46140</v>
      </c>
      <c r="F245" s="17">
        <v>0.77083333333333337</v>
      </c>
      <c r="G245" s="15" t="s">
        <v>18</v>
      </c>
      <c r="H245" s="15" t="s">
        <v>310</v>
      </c>
      <c r="I245" s="15" t="s">
        <v>296</v>
      </c>
      <c r="J245" s="15" t="s">
        <v>15</v>
      </c>
      <c r="K245" s="15" t="s">
        <v>48</v>
      </c>
      <c r="L245" s="15" t="s">
        <v>17</v>
      </c>
      <c r="M245" s="15" t="s">
        <v>49</v>
      </c>
      <c r="N245" s="15" t="s">
        <v>236</v>
      </c>
      <c r="O245" s="15" t="str">
        <f>_xlfn.XLOOKUP(N245,players!A:A,players!D:D,"")</f>
        <v>Jeff Savage</v>
      </c>
      <c r="P245" s="15" cm="1">
        <f t="array" ref="P245">_xlfn.XLOOKUP(I245&amp;N245,rosterSpots!B:B&amp;rosterSpots!D:D,rosterSpots!E:E,"")</f>
        <v>14</v>
      </c>
      <c r="Q245" s="15">
        <f xml:space="preserve"> (playerGameStats!$R245 * 2) + (playerGameStats!$S245 * 3) + (playerGameStats!$T245)</f>
        <v>3</v>
      </c>
      <c r="R245" s="15">
        <v>0</v>
      </c>
      <c r="S245" s="15">
        <v>1</v>
      </c>
      <c r="T245" s="15">
        <v>0</v>
      </c>
      <c r="U245" s="18">
        <v>0</v>
      </c>
    </row>
    <row r="246" spans="1:21" x14ac:dyDescent="0.25">
      <c r="A246" s="19" t="s">
        <v>335</v>
      </c>
      <c r="B246" s="20">
        <v>2026</v>
      </c>
      <c r="C246" s="20" t="s">
        <v>36</v>
      </c>
      <c r="D246" s="20">
        <v>4</v>
      </c>
      <c r="E246" s="21">
        <v>46140</v>
      </c>
      <c r="F246" s="22">
        <v>0.77083333333333337</v>
      </c>
      <c r="G246" s="20" t="s">
        <v>18</v>
      </c>
      <c r="H246" s="20" t="s">
        <v>310</v>
      </c>
      <c r="I246" s="20" t="s">
        <v>296</v>
      </c>
      <c r="J246" s="20" t="s">
        <v>15</v>
      </c>
      <c r="K246" s="20" t="s">
        <v>48</v>
      </c>
      <c r="L246" s="20" t="s">
        <v>17</v>
      </c>
      <c r="M246" s="20" t="s">
        <v>49</v>
      </c>
      <c r="N246" s="20" t="s">
        <v>241</v>
      </c>
      <c r="O246" s="20" t="str">
        <f>_xlfn.XLOOKUP(N246,players!A:A,players!D:D,"")</f>
        <v>Brian Clemens</v>
      </c>
      <c r="P246" s="20" cm="1">
        <f t="array" ref="P246">_xlfn.XLOOKUP(I246&amp;N246,rosterSpots!B:B&amp;rosterSpots!D:D,rosterSpots!E:E,"")</f>
        <v>17</v>
      </c>
      <c r="Q246" s="20">
        <f xml:space="preserve"> (playerGameStats!$R246 * 2) + (playerGameStats!$S246 * 3) + (playerGameStats!$T246)</f>
        <v>6</v>
      </c>
      <c r="R246" s="20">
        <v>3</v>
      </c>
      <c r="S246" s="20">
        <v>0</v>
      </c>
      <c r="T246" s="20">
        <v>0</v>
      </c>
      <c r="U246" s="23">
        <v>0</v>
      </c>
    </row>
    <row r="247" spans="1:21" x14ac:dyDescent="0.25">
      <c r="A247" s="14" t="s">
        <v>335</v>
      </c>
      <c r="B247" s="15">
        <v>2026</v>
      </c>
      <c r="C247" s="15" t="s">
        <v>36</v>
      </c>
      <c r="D247" s="15">
        <v>4</v>
      </c>
      <c r="E247" s="16">
        <v>46140</v>
      </c>
      <c r="F247" s="17">
        <v>0.77083333333333337</v>
      </c>
      <c r="G247" s="15" t="s">
        <v>18</v>
      </c>
      <c r="H247" s="15" t="s">
        <v>310</v>
      </c>
      <c r="I247" s="15" t="s">
        <v>296</v>
      </c>
      <c r="J247" s="15" t="s">
        <v>15</v>
      </c>
      <c r="K247" s="15" t="s">
        <v>48</v>
      </c>
      <c r="L247" s="15" t="s">
        <v>17</v>
      </c>
      <c r="M247" s="15" t="s">
        <v>49</v>
      </c>
      <c r="N247" s="15" t="s">
        <v>242</v>
      </c>
      <c r="O247" s="15" t="str">
        <f>_xlfn.XLOOKUP(N247,players!A:A,players!D:D,"")</f>
        <v>Jordan Wilcox</v>
      </c>
      <c r="P247" s="15" cm="1">
        <f t="array" ref="P247">_xlfn.XLOOKUP(I247&amp;N247,rosterSpots!B:B&amp;rosterSpots!D:D,rosterSpots!E:E,"")</f>
        <v>24</v>
      </c>
      <c r="Q247" s="15">
        <f xml:space="preserve"> (playerGameStats!$R247 * 2) + (playerGameStats!$S247 * 3) + (playerGameStats!$T247)</f>
        <v>24</v>
      </c>
      <c r="R247" s="15">
        <v>9</v>
      </c>
      <c r="S247" s="15">
        <v>1</v>
      </c>
      <c r="T247" s="15">
        <v>3</v>
      </c>
      <c r="U247" s="18">
        <v>8</v>
      </c>
    </row>
    <row r="248" spans="1:21" x14ac:dyDescent="0.25">
      <c r="A248" s="19" t="s">
        <v>335</v>
      </c>
      <c r="B248" s="20">
        <v>2026</v>
      </c>
      <c r="C248" s="20" t="s">
        <v>36</v>
      </c>
      <c r="D248" s="20">
        <v>4</v>
      </c>
      <c r="E248" s="21">
        <v>46140</v>
      </c>
      <c r="F248" s="22">
        <v>0.77083333333333337</v>
      </c>
      <c r="G248" s="20" t="s">
        <v>18</v>
      </c>
      <c r="H248" s="20" t="s">
        <v>310</v>
      </c>
      <c r="I248" s="20" t="s">
        <v>296</v>
      </c>
      <c r="J248" s="20" t="s">
        <v>15</v>
      </c>
      <c r="K248" s="20" t="s">
        <v>48</v>
      </c>
      <c r="L248" s="20" t="s">
        <v>17</v>
      </c>
      <c r="M248" s="20" t="s">
        <v>49</v>
      </c>
      <c r="N248" s="20" t="s">
        <v>239</v>
      </c>
      <c r="O248" s="20" t="str">
        <f>_xlfn.XLOOKUP(N248,players!A:A,players!D:D,"")</f>
        <v>Hakim Jackson</v>
      </c>
      <c r="P248" s="20" cm="1">
        <f t="array" ref="P248">_xlfn.XLOOKUP(I248&amp;N248,rosterSpots!B:B&amp;rosterSpots!D:D,rosterSpots!E:E,"")</f>
        <v>77</v>
      </c>
      <c r="Q248" s="20">
        <f xml:space="preserve"> (playerGameStats!$R248 * 2) + (playerGameStats!$S248 * 3) + (playerGameStats!$T248)</f>
        <v>14</v>
      </c>
      <c r="R248" s="20">
        <v>2</v>
      </c>
      <c r="S248" s="20">
        <v>3</v>
      </c>
      <c r="T248" s="20">
        <v>1</v>
      </c>
      <c r="U248" s="23">
        <v>1</v>
      </c>
    </row>
    <row r="249" spans="1:21" x14ac:dyDescent="0.25">
      <c r="A249" s="14" t="s">
        <v>335</v>
      </c>
      <c r="B249" s="15">
        <v>2026</v>
      </c>
      <c r="C249" s="15" t="s">
        <v>36</v>
      </c>
      <c r="D249" s="15">
        <v>4</v>
      </c>
      <c r="E249" s="16">
        <v>46140</v>
      </c>
      <c r="F249" s="17">
        <v>0.77083333333333337</v>
      </c>
      <c r="G249" s="15" t="s">
        <v>18</v>
      </c>
      <c r="H249" s="15" t="s">
        <v>310</v>
      </c>
      <c r="I249" s="15" t="s">
        <v>301</v>
      </c>
      <c r="J249" s="15" t="s">
        <v>17</v>
      </c>
      <c r="K249" s="15" t="s">
        <v>49</v>
      </c>
      <c r="L249" s="15" t="s">
        <v>15</v>
      </c>
      <c r="M249" s="15" t="s">
        <v>48</v>
      </c>
      <c r="N249" s="15" t="s">
        <v>285</v>
      </c>
      <c r="O249" s="15" t="str">
        <f>_xlfn.XLOOKUP(N249,players!A:A,players!D:D,"")</f>
        <v>Raeid Choudhury</v>
      </c>
      <c r="P249" s="15" cm="1">
        <f t="array" ref="P249">_xlfn.XLOOKUP(I249&amp;N249,rosterSpots!B:B&amp;rosterSpots!D:D,rosterSpots!E:E,"")</f>
        <v>1</v>
      </c>
      <c r="Q249" s="15">
        <f xml:space="preserve"> (playerGameStats!$R249 * 2) + (playerGameStats!$S249 * 3) + (playerGameStats!$T249)</f>
        <v>21</v>
      </c>
      <c r="R249" s="15">
        <v>4</v>
      </c>
      <c r="S249" s="15">
        <v>4</v>
      </c>
      <c r="T249" s="15">
        <v>1</v>
      </c>
      <c r="U249" s="18">
        <v>1</v>
      </c>
    </row>
    <row r="250" spans="1:21" x14ac:dyDescent="0.25">
      <c r="A250" s="19" t="s">
        <v>335</v>
      </c>
      <c r="B250" s="20">
        <v>2026</v>
      </c>
      <c r="C250" s="20" t="s">
        <v>36</v>
      </c>
      <c r="D250" s="20">
        <v>4</v>
      </c>
      <c r="E250" s="21">
        <v>46140</v>
      </c>
      <c r="F250" s="22">
        <v>0.77083333333333337</v>
      </c>
      <c r="G250" s="20" t="s">
        <v>18</v>
      </c>
      <c r="H250" s="20" t="s">
        <v>310</v>
      </c>
      <c r="I250" s="20" t="s">
        <v>301</v>
      </c>
      <c r="J250" s="20" t="s">
        <v>17</v>
      </c>
      <c r="K250" s="20" t="s">
        <v>49</v>
      </c>
      <c r="L250" s="20" t="s">
        <v>15</v>
      </c>
      <c r="M250" s="20" t="s">
        <v>48</v>
      </c>
      <c r="N250" s="20" t="s">
        <v>290</v>
      </c>
      <c r="O250" s="20" t="str">
        <f>_xlfn.XLOOKUP(N250,players!A:A,players!D:D,"")</f>
        <v>Cray Cordero</v>
      </c>
      <c r="P250" s="20" cm="1">
        <f t="array" ref="P250">_xlfn.XLOOKUP(I250&amp;N250,rosterSpots!B:B&amp;rosterSpots!D:D,rosterSpots!E:E,"")</f>
        <v>8</v>
      </c>
      <c r="Q250" s="20">
        <f xml:space="preserve"> (playerGameStats!$R250 * 2) + (playerGameStats!$S250 * 3) + (playerGameStats!$T250)</f>
        <v>7</v>
      </c>
      <c r="R250" s="20">
        <v>2</v>
      </c>
      <c r="S250" s="20">
        <v>1</v>
      </c>
      <c r="T250" s="20">
        <v>0</v>
      </c>
      <c r="U250" s="23">
        <v>2</v>
      </c>
    </row>
    <row r="251" spans="1:21" x14ac:dyDescent="0.25">
      <c r="A251" s="14" t="s">
        <v>335</v>
      </c>
      <c r="B251" s="15">
        <v>2026</v>
      </c>
      <c r="C251" s="15" t="s">
        <v>36</v>
      </c>
      <c r="D251" s="15">
        <v>4</v>
      </c>
      <c r="E251" s="16">
        <v>46140</v>
      </c>
      <c r="F251" s="17">
        <v>0.77083333333333337</v>
      </c>
      <c r="G251" s="15" t="s">
        <v>18</v>
      </c>
      <c r="H251" s="15" t="s">
        <v>310</v>
      </c>
      <c r="I251" s="15" t="s">
        <v>301</v>
      </c>
      <c r="J251" s="15" t="s">
        <v>17</v>
      </c>
      <c r="K251" s="15" t="s">
        <v>49</v>
      </c>
      <c r="L251" s="15" t="s">
        <v>15</v>
      </c>
      <c r="M251" s="15" t="s">
        <v>48</v>
      </c>
      <c r="N251" s="15" t="s">
        <v>288</v>
      </c>
      <c r="O251" s="15" t="str">
        <f>_xlfn.XLOOKUP(N251,players!A:A,players!D:D,"")</f>
        <v>Vanardo Banks</v>
      </c>
      <c r="P251" s="15" cm="1">
        <f t="array" ref="P251">_xlfn.XLOOKUP(I251&amp;N251,rosterSpots!B:B&amp;rosterSpots!D:D,rosterSpots!E:E,"")</f>
        <v>10</v>
      </c>
      <c r="Q251" s="15">
        <f xml:space="preserve"> (playerGameStats!$R251 * 2) + (playerGameStats!$S251 * 3) + (playerGameStats!$T251)</f>
        <v>10</v>
      </c>
      <c r="R251" s="15">
        <v>5</v>
      </c>
      <c r="S251" s="15">
        <v>0</v>
      </c>
      <c r="T251" s="15">
        <v>0</v>
      </c>
      <c r="U251" s="18">
        <v>0</v>
      </c>
    </row>
    <row r="252" spans="1:21" x14ac:dyDescent="0.25">
      <c r="A252" s="19" t="s">
        <v>335</v>
      </c>
      <c r="B252" s="20">
        <v>2026</v>
      </c>
      <c r="C252" s="20" t="s">
        <v>36</v>
      </c>
      <c r="D252" s="20">
        <v>4</v>
      </c>
      <c r="E252" s="21">
        <v>46140</v>
      </c>
      <c r="F252" s="22">
        <v>0.77083333333333337</v>
      </c>
      <c r="G252" s="20" t="s">
        <v>18</v>
      </c>
      <c r="H252" s="20" t="s">
        <v>310</v>
      </c>
      <c r="I252" s="20" t="s">
        <v>301</v>
      </c>
      <c r="J252" s="20" t="s">
        <v>17</v>
      </c>
      <c r="K252" s="20" t="s">
        <v>49</v>
      </c>
      <c r="L252" s="20" t="s">
        <v>15</v>
      </c>
      <c r="M252" s="20" t="s">
        <v>48</v>
      </c>
      <c r="N252" s="20" t="s">
        <v>292</v>
      </c>
      <c r="O252" s="20" t="str">
        <f>_xlfn.XLOOKUP(N252,players!A:A,players!D:D,"")</f>
        <v>Junior Peralta</v>
      </c>
      <c r="P252" s="20" cm="1">
        <f t="array" ref="P252">_xlfn.XLOOKUP(I252&amp;N252,rosterSpots!B:B&amp;rosterSpots!D:D,rosterSpots!E:E,"")</f>
        <v>12</v>
      </c>
      <c r="Q252" s="20">
        <f xml:space="preserve"> (playerGameStats!$R252 * 2) + (playerGameStats!$S252 * 3) + (playerGameStats!$T252)</f>
        <v>9</v>
      </c>
      <c r="R252" s="20">
        <v>3</v>
      </c>
      <c r="S252" s="20">
        <v>1</v>
      </c>
      <c r="T252" s="20">
        <v>0</v>
      </c>
      <c r="U252" s="23">
        <v>0</v>
      </c>
    </row>
    <row r="253" spans="1:21" x14ac:dyDescent="0.25">
      <c r="A253" s="14" t="s">
        <v>335</v>
      </c>
      <c r="B253" s="15">
        <v>2026</v>
      </c>
      <c r="C253" s="15" t="s">
        <v>36</v>
      </c>
      <c r="D253" s="15">
        <v>4</v>
      </c>
      <c r="E253" s="16">
        <v>46140</v>
      </c>
      <c r="F253" s="17">
        <v>0.77083333333333337</v>
      </c>
      <c r="G253" s="15" t="s">
        <v>18</v>
      </c>
      <c r="H253" s="15" t="s">
        <v>310</v>
      </c>
      <c r="I253" s="15" t="s">
        <v>301</v>
      </c>
      <c r="J253" s="15" t="s">
        <v>17</v>
      </c>
      <c r="K253" s="15" t="s">
        <v>49</v>
      </c>
      <c r="L253" s="15" t="s">
        <v>15</v>
      </c>
      <c r="M253" s="15" t="s">
        <v>48</v>
      </c>
      <c r="N253" s="15" t="s">
        <v>293</v>
      </c>
      <c r="O253" s="15" t="str">
        <f>_xlfn.XLOOKUP(N253,players!A:A,players!D:D,"")</f>
        <v>Jossell De Coteau</v>
      </c>
      <c r="P253" s="15" cm="1">
        <f t="array" ref="P253">_xlfn.XLOOKUP(I253&amp;N253,rosterSpots!B:B&amp;rosterSpots!D:D,rosterSpots!E:E,"")</f>
        <v>28</v>
      </c>
      <c r="Q253" s="15">
        <f xml:space="preserve"> (playerGameStats!$R253 * 2) + (playerGameStats!$S253 * 3) + (playerGameStats!$T253)</f>
        <v>8</v>
      </c>
      <c r="R253" s="15">
        <v>4</v>
      </c>
      <c r="S253" s="15">
        <v>0</v>
      </c>
      <c r="T253" s="15">
        <v>0</v>
      </c>
      <c r="U253" s="18">
        <v>0</v>
      </c>
    </row>
    <row r="254" spans="1:21" x14ac:dyDescent="0.25">
      <c r="A254" s="19" t="s">
        <v>334</v>
      </c>
      <c r="B254" s="20">
        <v>2026</v>
      </c>
      <c r="C254" s="20" t="s">
        <v>36</v>
      </c>
      <c r="D254" s="20">
        <v>4</v>
      </c>
      <c r="E254" s="21">
        <v>46140</v>
      </c>
      <c r="F254" s="22">
        <v>0.8125</v>
      </c>
      <c r="G254" s="20" t="s">
        <v>18</v>
      </c>
      <c r="H254" s="20" t="s">
        <v>310</v>
      </c>
      <c r="I254" s="20" t="s">
        <v>297</v>
      </c>
      <c r="J254" s="20" t="s">
        <v>13</v>
      </c>
      <c r="K254" s="20" t="s">
        <v>47</v>
      </c>
      <c r="L254" s="20" t="s">
        <v>16</v>
      </c>
      <c r="M254" s="20" t="s">
        <v>44</v>
      </c>
      <c r="N254" s="20" t="s">
        <v>249</v>
      </c>
      <c r="O254" s="20" t="str">
        <f>_xlfn.XLOOKUP(N254,players!A:A,players!D:D,"")</f>
        <v>Chris Ellis</v>
      </c>
      <c r="P254" s="20" cm="1">
        <f t="array" ref="P254">_xlfn.XLOOKUP(I254&amp;N254,rosterSpots!B:B&amp;rosterSpots!D:D,rosterSpots!E:E,"")</f>
        <v>0</v>
      </c>
      <c r="Q254" s="20">
        <f xml:space="preserve"> (playerGameStats!$R254 * 2) + (playerGameStats!$S254 * 3) + (playerGameStats!$T254)</f>
        <v>11</v>
      </c>
      <c r="R254" s="20">
        <v>4</v>
      </c>
      <c r="S254" s="20">
        <v>0</v>
      </c>
      <c r="T254" s="20">
        <v>3</v>
      </c>
      <c r="U254" s="23">
        <v>3</v>
      </c>
    </row>
    <row r="255" spans="1:21" x14ac:dyDescent="0.25">
      <c r="A255" s="14" t="s">
        <v>334</v>
      </c>
      <c r="B255" s="15">
        <v>2026</v>
      </c>
      <c r="C255" s="15" t="s">
        <v>36</v>
      </c>
      <c r="D255" s="15">
        <v>4</v>
      </c>
      <c r="E255" s="16">
        <v>46140</v>
      </c>
      <c r="F255" s="17">
        <v>0.8125</v>
      </c>
      <c r="G255" s="15" t="s">
        <v>18</v>
      </c>
      <c r="H255" s="15" t="s">
        <v>310</v>
      </c>
      <c r="I255" s="15" t="s">
        <v>297</v>
      </c>
      <c r="J255" s="15" t="s">
        <v>13</v>
      </c>
      <c r="K255" s="15" t="s">
        <v>47</v>
      </c>
      <c r="L255" s="15" t="s">
        <v>16</v>
      </c>
      <c r="M255" s="15" t="s">
        <v>44</v>
      </c>
      <c r="N255" s="15" t="s">
        <v>251</v>
      </c>
      <c r="O255" s="15" t="str">
        <f>_xlfn.XLOOKUP(N255,players!A:A,players!D:D,"")</f>
        <v>Kyle Kelly</v>
      </c>
      <c r="P255" s="15" cm="1">
        <f t="array" ref="P255">_xlfn.XLOOKUP(I255&amp;N255,rosterSpots!B:B&amp;rosterSpots!D:D,rosterSpots!E:E,"")</f>
        <v>13</v>
      </c>
      <c r="Q255" s="15">
        <f xml:space="preserve"> (playerGameStats!$R255 * 2) + (playerGameStats!$S255 * 3) + (playerGameStats!$T255)</f>
        <v>6</v>
      </c>
      <c r="R255" s="15">
        <v>0</v>
      </c>
      <c r="S255" s="15">
        <v>2</v>
      </c>
      <c r="T255" s="15">
        <v>0</v>
      </c>
      <c r="U255" s="18">
        <v>0</v>
      </c>
    </row>
    <row r="256" spans="1:21" x14ac:dyDescent="0.25">
      <c r="A256" s="19" t="s">
        <v>334</v>
      </c>
      <c r="B256" s="20">
        <v>2026</v>
      </c>
      <c r="C256" s="20" t="s">
        <v>36</v>
      </c>
      <c r="D256" s="20">
        <v>4</v>
      </c>
      <c r="E256" s="21">
        <v>46140</v>
      </c>
      <c r="F256" s="22">
        <v>0.8125</v>
      </c>
      <c r="G256" s="20" t="s">
        <v>18</v>
      </c>
      <c r="H256" s="20" t="s">
        <v>310</v>
      </c>
      <c r="I256" s="20" t="s">
        <v>297</v>
      </c>
      <c r="J256" s="20" t="s">
        <v>13</v>
      </c>
      <c r="K256" s="20" t="s">
        <v>47</v>
      </c>
      <c r="L256" s="20" t="s">
        <v>16</v>
      </c>
      <c r="M256" s="20" t="s">
        <v>44</v>
      </c>
      <c r="N256" s="20" t="s">
        <v>247</v>
      </c>
      <c r="O256" s="20" t="str">
        <f>_xlfn.XLOOKUP(N256,players!A:A,players!D:D,"")</f>
        <v>Donte Diggs</v>
      </c>
      <c r="P256" s="20" cm="1">
        <f t="array" ref="P256">_xlfn.XLOOKUP(I256&amp;N256,rosterSpots!B:B&amp;rosterSpots!D:D,rosterSpots!E:E,"")</f>
        <v>21</v>
      </c>
      <c r="Q256" s="20">
        <f xml:space="preserve"> (playerGameStats!$R256 * 2) + (playerGameStats!$S256 * 3) + (playerGameStats!$T256)</f>
        <v>11</v>
      </c>
      <c r="R256" s="20">
        <v>1</v>
      </c>
      <c r="S256" s="20">
        <v>3</v>
      </c>
      <c r="T256" s="20">
        <v>0</v>
      </c>
      <c r="U256" s="23">
        <v>0</v>
      </c>
    </row>
    <row r="257" spans="1:21" x14ac:dyDescent="0.25">
      <c r="A257" s="14" t="s">
        <v>334</v>
      </c>
      <c r="B257" s="15">
        <v>2026</v>
      </c>
      <c r="C257" s="15" t="s">
        <v>36</v>
      </c>
      <c r="D257" s="15">
        <v>4</v>
      </c>
      <c r="E257" s="16">
        <v>46140</v>
      </c>
      <c r="F257" s="17">
        <v>0.8125</v>
      </c>
      <c r="G257" s="15" t="s">
        <v>18</v>
      </c>
      <c r="H257" s="15" t="s">
        <v>310</v>
      </c>
      <c r="I257" s="15" t="s">
        <v>297</v>
      </c>
      <c r="J257" s="15" t="s">
        <v>13</v>
      </c>
      <c r="K257" s="15" t="s">
        <v>47</v>
      </c>
      <c r="L257" s="15" t="s">
        <v>16</v>
      </c>
      <c r="M257" s="15" t="s">
        <v>44</v>
      </c>
      <c r="N257" s="15" t="s">
        <v>245</v>
      </c>
      <c r="O257" s="15" t="str">
        <f>_xlfn.XLOOKUP(N257,players!A:A,players!D:D,"")</f>
        <v>Deven Cobb</v>
      </c>
      <c r="P257" s="15" cm="1">
        <f t="array" ref="P257">_xlfn.XLOOKUP(I257&amp;N257,rosterSpots!B:B&amp;rosterSpots!D:D,rosterSpots!E:E,"")</f>
        <v>22</v>
      </c>
      <c r="Q257" s="15">
        <f xml:space="preserve"> (playerGameStats!$R257 * 2) + (playerGameStats!$S257 * 3) + (playerGameStats!$T257)</f>
        <v>5</v>
      </c>
      <c r="R257" s="15">
        <v>1</v>
      </c>
      <c r="S257" s="15">
        <v>1</v>
      </c>
      <c r="T257" s="15">
        <v>0</v>
      </c>
      <c r="U257" s="18">
        <v>0</v>
      </c>
    </row>
    <row r="258" spans="1:21" x14ac:dyDescent="0.25">
      <c r="A258" s="19" t="s">
        <v>334</v>
      </c>
      <c r="B258" s="20">
        <v>2026</v>
      </c>
      <c r="C258" s="20" t="s">
        <v>36</v>
      </c>
      <c r="D258" s="20">
        <v>4</v>
      </c>
      <c r="E258" s="21">
        <v>46140</v>
      </c>
      <c r="F258" s="22">
        <v>0.8125</v>
      </c>
      <c r="G258" s="20" t="s">
        <v>18</v>
      </c>
      <c r="H258" s="20" t="s">
        <v>310</v>
      </c>
      <c r="I258" s="20" t="s">
        <v>297</v>
      </c>
      <c r="J258" s="20" t="s">
        <v>13</v>
      </c>
      <c r="K258" s="20" t="s">
        <v>47</v>
      </c>
      <c r="L258" s="20" t="s">
        <v>16</v>
      </c>
      <c r="M258" s="20" t="s">
        <v>44</v>
      </c>
      <c r="N258" s="20" t="s">
        <v>304</v>
      </c>
      <c r="O258" s="20" t="str">
        <f>_xlfn.XLOOKUP(N258,players!A:A,players!D:D,"")</f>
        <v>Chris Kennedy</v>
      </c>
      <c r="P258" s="20" cm="1">
        <f t="array" ref="P258">_xlfn.XLOOKUP(I258&amp;N258,rosterSpots!B:B&amp;rosterSpots!D:D,rosterSpots!E:E,"")</f>
        <v>33</v>
      </c>
      <c r="Q258" s="20">
        <f xml:space="preserve"> (playerGameStats!$R258 * 2) + (playerGameStats!$S258 * 3) + (playerGameStats!$T258)</f>
        <v>12</v>
      </c>
      <c r="R258" s="20">
        <v>0</v>
      </c>
      <c r="S258" s="20">
        <v>4</v>
      </c>
      <c r="T258" s="20">
        <v>0</v>
      </c>
      <c r="U258" s="23">
        <v>0</v>
      </c>
    </row>
    <row r="259" spans="1:21" x14ac:dyDescent="0.25">
      <c r="A259" s="14" t="s">
        <v>334</v>
      </c>
      <c r="B259" s="15">
        <v>2026</v>
      </c>
      <c r="C259" s="15" t="s">
        <v>36</v>
      </c>
      <c r="D259" s="15">
        <v>4</v>
      </c>
      <c r="E259" s="16">
        <v>46140</v>
      </c>
      <c r="F259" s="17">
        <v>0.8125</v>
      </c>
      <c r="G259" s="15" t="s">
        <v>18</v>
      </c>
      <c r="H259" s="15" t="s">
        <v>310</v>
      </c>
      <c r="I259" s="15" t="s">
        <v>300</v>
      </c>
      <c r="J259" s="15" t="s">
        <v>16</v>
      </c>
      <c r="K259" s="15" t="s">
        <v>44</v>
      </c>
      <c r="L259" s="15" t="s">
        <v>13</v>
      </c>
      <c r="M259" s="15" t="s">
        <v>47</v>
      </c>
      <c r="N259" s="15" t="s">
        <v>277</v>
      </c>
      <c r="O259" s="15" t="str">
        <f>_xlfn.XLOOKUP(N259,players!A:A,players!D:D,"")</f>
        <v>Kevin Carroll</v>
      </c>
      <c r="P259" s="15" cm="1">
        <f t="array" ref="P259">_xlfn.XLOOKUP(I259&amp;N259,rosterSpots!B:B&amp;rosterSpots!D:D,rosterSpots!E:E,"")</f>
        <v>2</v>
      </c>
      <c r="Q259" s="15">
        <f xml:space="preserve"> (playerGameStats!$R259 * 2) + (playerGameStats!$S259 * 3) + (playerGameStats!$T259)</f>
        <v>5</v>
      </c>
      <c r="R259" s="15">
        <v>1</v>
      </c>
      <c r="S259" s="15">
        <v>1</v>
      </c>
      <c r="T259" s="15">
        <v>0</v>
      </c>
      <c r="U259" s="18">
        <v>0</v>
      </c>
    </row>
    <row r="260" spans="1:21" x14ac:dyDescent="0.25">
      <c r="A260" s="19" t="s">
        <v>334</v>
      </c>
      <c r="B260" s="20">
        <v>2026</v>
      </c>
      <c r="C260" s="20" t="s">
        <v>36</v>
      </c>
      <c r="D260" s="20">
        <v>4</v>
      </c>
      <c r="E260" s="21">
        <v>46140</v>
      </c>
      <c r="F260" s="22">
        <v>0.8125</v>
      </c>
      <c r="G260" s="20" t="s">
        <v>18</v>
      </c>
      <c r="H260" s="20" t="s">
        <v>310</v>
      </c>
      <c r="I260" s="20" t="s">
        <v>300</v>
      </c>
      <c r="J260" s="20" t="s">
        <v>16</v>
      </c>
      <c r="K260" s="20" t="s">
        <v>44</v>
      </c>
      <c r="L260" s="20" t="s">
        <v>13</v>
      </c>
      <c r="M260" s="20" t="s">
        <v>47</v>
      </c>
      <c r="N260" s="20" t="s">
        <v>281</v>
      </c>
      <c r="O260" s="20" t="str">
        <f>_xlfn.XLOOKUP(N260,players!A:A,players!D:D,"")</f>
        <v>Tommy Zheng</v>
      </c>
      <c r="P260" s="20" cm="1">
        <f t="array" ref="P260">_xlfn.XLOOKUP(I260&amp;N260,rosterSpots!B:B&amp;rosterSpots!D:D,rosterSpots!E:E,"")</f>
        <v>5</v>
      </c>
      <c r="Q260" s="20">
        <f xml:space="preserve"> (playerGameStats!$R260 * 2) + (playerGameStats!$S260 * 3) + (playerGameStats!$T260)</f>
        <v>3</v>
      </c>
      <c r="R260" s="20">
        <v>0</v>
      </c>
      <c r="S260" s="20">
        <v>1</v>
      </c>
      <c r="T260" s="20">
        <v>0</v>
      </c>
      <c r="U260" s="23">
        <v>0</v>
      </c>
    </row>
    <row r="261" spans="1:21" x14ac:dyDescent="0.25">
      <c r="A261" s="14" t="s">
        <v>334</v>
      </c>
      <c r="B261" s="15">
        <v>2026</v>
      </c>
      <c r="C261" s="15" t="s">
        <v>36</v>
      </c>
      <c r="D261" s="15">
        <v>4</v>
      </c>
      <c r="E261" s="16">
        <v>46140</v>
      </c>
      <c r="F261" s="17">
        <v>0.8125</v>
      </c>
      <c r="G261" s="15" t="s">
        <v>18</v>
      </c>
      <c r="H261" s="15" t="s">
        <v>310</v>
      </c>
      <c r="I261" s="15" t="s">
        <v>300</v>
      </c>
      <c r="J261" s="15" t="s">
        <v>16</v>
      </c>
      <c r="K261" s="15" t="s">
        <v>44</v>
      </c>
      <c r="L261" s="15" t="s">
        <v>13</v>
      </c>
      <c r="M261" s="15" t="s">
        <v>47</v>
      </c>
      <c r="N261" s="15" t="s">
        <v>278</v>
      </c>
      <c r="O261" s="15" t="str">
        <f>_xlfn.XLOOKUP(N261,players!A:A,players!D:D,"")</f>
        <v>Douglas Alexander</v>
      </c>
      <c r="P261" s="15" cm="1">
        <f t="array" ref="P261">_xlfn.XLOOKUP(I261&amp;N261,rosterSpots!B:B&amp;rosterSpots!D:D,rosterSpots!E:E,"")</f>
        <v>10</v>
      </c>
      <c r="Q261" s="15">
        <f xml:space="preserve"> (playerGameStats!$R261 * 2) + (playerGameStats!$S261 * 3) + (playerGameStats!$T261)</f>
        <v>8</v>
      </c>
      <c r="R261" s="15">
        <v>4</v>
      </c>
      <c r="S261" s="15">
        <v>0</v>
      </c>
      <c r="T261" s="15">
        <v>0</v>
      </c>
      <c r="U261" s="18">
        <v>0</v>
      </c>
    </row>
    <row r="262" spans="1:21" x14ac:dyDescent="0.25">
      <c r="A262" s="19" t="s">
        <v>334</v>
      </c>
      <c r="B262" s="20">
        <v>2026</v>
      </c>
      <c r="C262" s="20" t="s">
        <v>36</v>
      </c>
      <c r="D262" s="20">
        <v>4</v>
      </c>
      <c r="E262" s="21">
        <v>46140</v>
      </c>
      <c r="F262" s="22">
        <v>0.8125</v>
      </c>
      <c r="G262" s="20" t="s">
        <v>18</v>
      </c>
      <c r="H262" s="20" t="s">
        <v>310</v>
      </c>
      <c r="I262" s="20" t="s">
        <v>300</v>
      </c>
      <c r="J262" s="20" t="s">
        <v>16</v>
      </c>
      <c r="K262" s="20" t="s">
        <v>44</v>
      </c>
      <c r="L262" s="20" t="s">
        <v>13</v>
      </c>
      <c r="M262" s="20" t="s">
        <v>47</v>
      </c>
      <c r="N262" s="20" t="s">
        <v>273</v>
      </c>
      <c r="O262" s="20" t="str">
        <f>_xlfn.XLOOKUP(N262,players!A:A,players!D:D,"")</f>
        <v>Travis Gibbs</v>
      </c>
      <c r="P262" s="20" cm="1">
        <f t="array" ref="P262">_xlfn.XLOOKUP(I262&amp;N262,rosterSpots!B:B&amp;rosterSpots!D:D,rosterSpots!E:E,"")</f>
        <v>11</v>
      </c>
      <c r="Q262" s="20">
        <f xml:space="preserve"> (playerGameStats!$R262 * 2) + (playerGameStats!$S262 * 3) + (playerGameStats!$T262)</f>
        <v>15</v>
      </c>
      <c r="R262" s="20">
        <v>0</v>
      </c>
      <c r="S262" s="20">
        <v>5</v>
      </c>
      <c r="T262" s="20">
        <v>0</v>
      </c>
      <c r="U262" s="23">
        <v>0</v>
      </c>
    </row>
    <row r="263" spans="1:21" x14ac:dyDescent="0.25">
      <c r="A263" s="14" t="s">
        <v>334</v>
      </c>
      <c r="B263" s="15">
        <v>2026</v>
      </c>
      <c r="C263" s="15" t="s">
        <v>36</v>
      </c>
      <c r="D263" s="15">
        <v>4</v>
      </c>
      <c r="E263" s="16">
        <v>46140</v>
      </c>
      <c r="F263" s="17">
        <v>0.8125</v>
      </c>
      <c r="G263" s="15" t="s">
        <v>18</v>
      </c>
      <c r="H263" s="15" t="s">
        <v>310</v>
      </c>
      <c r="I263" s="15" t="s">
        <v>300</v>
      </c>
      <c r="J263" s="15" t="s">
        <v>16</v>
      </c>
      <c r="K263" s="15" t="s">
        <v>44</v>
      </c>
      <c r="L263" s="15" t="s">
        <v>13</v>
      </c>
      <c r="M263" s="15" t="s">
        <v>47</v>
      </c>
      <c r="N263" s="15" t="s">
        <v>282</v>
      </c>
      <c r="O263" s="15" t="str">
        <f>_xlfn.XLOOKUP(N263,players!A:A,players!D:D,"")</f>
        <v>Guillermo Jacquez</v>
      </c>
      <c r="P263" s="15" cm="1">
        <f t="array" ref="P263">_xlfn.XLOOKUP(I263&amp;N263,rosterSpots!B:B&amp;rosterSpots!D:D,rosterSpots!E:E,"")</f>
        <v>13</v>
      </c>
      <c r="Q263" s="15">
        <f xml:space="preserve"> (playerGameStats!$R263 * 2) + (playerGameStats!$S263 * 3) + (playerGameStats!$T263)</f>
        <v>8</v>
      </c>
      <c r="R263" s="15">
        <v>1</v>
      </c>
      <c r="S263" s="15">
        <v>2</v>
      </c>
      <c r="T263" s="15">
        <v>0</v>
      </c>
      <c r="U263" s="18">
        <v>0</v>
      </c>
    </row>
    <row r="264" spans="1:21" x14ac:dyDescent="0.25">
      <c r="A264" s="19" t="s">
        <v>334</v>
      </c>
      <c r="B264" s="20">
        <v>2026</v>
      </c>
      <c r="C264" s="20" t="s">
        <v>36</v>
      </c>
      <c r="D264" s="20">
        <v>4</v>
      </c>
      <c r="E264" s="21">
        <v>46140</v>
      </c>
      <c r="F264" s="22">
        <v>0.8125</v>
      </c>
      <c r="G264" s="20" t="s">
        <v>18</v>
      </c>
      <c r="H264" s="20" t="s">
        <v>310</v>
      </c>
      <c r="I264" s="20" t="s">
        <v>300</v>
      </c>
      <c r="J264" s="20" t="s">
        <v>16</v>
      </c>
      <c r="K264" s="20" t="s">
        <v>44</v>
      </c>
      <c r="L264" s="20" t="s">
        <v>13</v>
      </c>
      <c r="M264" s="20" t="s">
        <v>47</v>
      </c>
      <c r="N264" s="20" t="s">
        <v>274</v>
      </c>
      <c r="O264" s="20" t="str">
        <f>_xlfn.XLOOKUP(N264,players!A:A,players!D:D,"")</f>
        <v>David Hays</v>
      </c>
      <c r="P264" s="20" cm="1">
        <f t="array" ref="P264">_xlfn.XLOOKUP(I264&amp;N264,rosterSpots!B:B&amp;rosterSpots!D:D,rosterSpots!E:E,"")</f>
        <v>17</v>
      </c>
      <c r="Q264" s="20">
        <f xml:space="preserve"> (playerGameStats!$R264 * 2) + (playerGameStats!$S264 * 3) + (playerGameStats!$T264)</f>
        <v>0</v>
      </c>
      <c r="R264" s="20">
        <v>0</v>
      </c>
      <c r="S264" s="20">
        <v>0</v>
      </c>
      <c r="T264" s="20">
        <v>0</v>
      </c>
      <c r="U264" s="23">
        <v>0</v>
      </c>
    </row>
    <row r="265" spans="1:21" x14ac:dyDescent="0.25">
      <c r="A265" s="14" t="s">
        <v>334</v>
      </c>
      <c r="B265" s="15">
        <v>2026</v>
      </c>
      <c r="C265" s="15" t="s">
        <v>36</v>
      </c>
      <c r="D265" s="15">
        <v>4</v>
      </c>
      <c r="E265" s="16">
        <v>46140</v>
      </c>
      <c r="F265" s="17">
        <v>0.8125</v>
      </c>
      <c r="G265" s="15" t="s">
        <v>18</v>
      </c>
      <c r="H265" s="15" t="s">
        <v>310</v>
      </c>
      <c r="I265" s="15" t="s">
        <v>300</v>
      </c>
      <c r="J265" s="15" t="s">
        <v>16</v>
      </c>
      <c r="K265" s="15" t="s">
        <v>44</v>
      </c>
      <c r="L265" s="15" t="s">
        <v>13</v>
      </c>
      <c r="M265" s="15" t="s">
        <v>47</v>
      </c>
      <c r="N265" s="15" t="s">
        <v>279</v>
      </c>
      <c r="O265" s="15" t="str">
        <f>_xlfn.XLOOKUP(N265,players!A:A,players!D:D,"")</f>
        <v>Jose Toledo</v>
      </c>
      <c r="P265" s="15" cm="1">
        <f t="array" ref="P265">_xlfn.XLOOKUP(I265&amp;N265,rosterSpots!B:B&amp;rosterSpots!D:D,rosterSpots!E:E,"")</f>
        <v>25</v>
      </c>
      <c r="Q265" s="15">
        <f xml:space="preserve"> (playerGameStats!$R265 * 2) + (playerGameStats!$S265 * 3) + (playerGameStats!$T265)</f>
        <v>4</v>
      </c>
      <c r="R265" s="15">
        <v>1</v>
      </c>
      <c r="S265" s="15">
        <v>0</v>
      </c>
      <c r="T265" s="15">
        <v>2</v>
      </c>
      <c r="U265" s="18">
        <v>3</v>
      </c>
    </row>
    <row r="266" spans="1:21" x14ac:dyDescent="0.25">
      <c r="A266" s="19" t="s">
        <v>334</v>
      </c>
      <c r="B266" s="20">
        <v>2026</v>
      </c>
      <c r="C266" s="20" t="s">
        <v>36</v>
      </c>
      <c r="D266" s="20">
        <v>4</v>
      </c>
      <c r="E266" s="21">
        <v>46140</v>
      </c>
      <c r="F266" s="22">
        <v>0.8125</v>
      </c>
      <c r="G266" s="20" t="s">
        <v>18</v>
      </c>
      <c r="H266" s="20" t="s">
        <v>310</v>
      </c>
      <c r="I266" s="20" t="s">
        <v>300</v>
      </c>
      <c r="J266" s="20" t="s">
        <v>16</v>
      </c>
      <c r="K266" s="20" t="s">
        <v>44</v>
      </c>
      <c r="L266" s="20" t="s">
        <v>13</v>
      </c>
      <c r="M266" s="20" t="s">
        <v>47</v>
      </c>
      <c r="N266" s="20" t="s">
        <v>280</v>
      </c>
      <c r="O266" s="20" t="str">
        <f>_xlfn.XLOOKUP(N266,players!A:A,players!D:D,"")</f>
        <v>Russel Verceles</v>
      </c>
      <c r="P266" s="20" cm="1">
        <f t="array" ref="P266">_xlfn.XLOOKUP(I266&amp;N266,rosterSpots!B:B&amp;rosterSpots!D:D,rosterSpots!E:E,"")</f>
        <v>32</v>
      </c>
      <c r="Q266" s="20">
        <f xml:space="preserve"> (playerGameStats!$R266 * 2) + (playerGameStats!$S266 * 3) + (playerGameStats!$T266)</f>
        <v>5</v>
      </c>
      <c r="R266" s="20">
        <v>0</v>
      </c>
      <c r="S266" s="20">
        <v>0</v>
      </c>
      <c r="T266" s="20">
        <v>5</v>
      </c>
      <c r="U266" s="23">
        <v>6</v>
      </c>
    </row>
    <row r="267" spans="1:21" x14ac:dyDescent="0.25">
      <c r="A267" s="14" t="s">
        <v>333</v>
      </c>
      <c r="B267" s="15">
        <v>2026</v>
      </c>
      <c r="C267" s="15" t="s">
        <v>36</v>
      </c>
      <c r="D267" s="15">
        <v>4</v>
      </c>
      <c r="E267" s="16">
        <v>46140</v>
      </c>
      <c r="F267" s="17">
        <v>0.85416666666666663</v>
      </c>
      <c r="G267" s="15" t="s">
        <v>18</v>
      </c>
      <c r="H267" s="15" t="s">
        <v>310</v>
      </c>
      <c r="I267" s="15" t="s">
        <v>294</v>
      </c>
      <c r="J267" s="15" t="s">
        <v>10</v>
      </c>
      <c r="K267" s="15" t="s">
        <v>42</v>
      </c>
      <c r="L267" s="15" t="s">
        <v>14</v>
      </c>
      <c r="M267" s="15" t="s">
        <v>43</v>
      </c>
      <c r="N267" s="15" t="s">
        <v>216</v>
      </c>
      <c r="O267" s="15" t="str">
        <f>_xlfn.XLOOKUP(N267,players!A:A,players!D:D,"")</f>
        <v>Ryan Ricciardelli</v>
      </c>
      <c r="P267" s="15" cm="1">
        <f t="array" ref="P267">_xlfn.XLOOKUP(I267&amp;N267,rosterSpots!B:B&amp;rosterSpots!D:D,rosterSpots!E:E,"")</f>
        <v>2</v>
      </c>
      <c r="Q267" s="15">
        <f xml:space="preserve"> (playerGameStats!$R267 * 2) + (playerGameStats!$S267 * 3) + (playerGameStats!$T267)</f>
        <v>2</v>
      </c>
      <c r="R267" s="15">
        <v>1</v>
      </c>
      <c r="S267" s="15">
        <v>0</v>
      </c>
      <c r="T267" s="15">
        <v>0</v>
      </c>
      <c r="U267" s="18">
        <v>0</v>
      </c>
    </row>
    <row r="268" spans="1:21" x14ac:dyDescent="0.25">
      <c r="A268" s="19" t="s">
        <v>333</v>
      </c>
      <c r="B268" s="20">
        <v>2026</v>
      </c>
      <c r="C268" s="20" t="s">
        <v>36</v>
      </c>
      <c r="D268" s="20">
        <v>4</v>
      </c>
      <c r="E268" s="21">
        <v>46140</v>
      </c>
      <c r="F268" s="22">
        <v>0.85416666666666663</v>
      </c>
      <c r="G268" s="20" t="s">
        <v>18</v>
      </c>
      <c r="H268" s="20" t="s">
        <v>310</v>
      </c>
      <c r="I268" s="20" t="s">
        <v>294</v>
      </c>
      <c r="J268" s="20" t="s">
        <v>10</v>
      </c>
      <c r="K268" s="20" t="s">
        <v>42</v>
      </c>
      <c r="L268" s="20" t="s">
        <v>14</v>
      </c>
      <c r="M268" s="20" t="s">
        <v>43</v>
      </c>
      <c r="N268" s="20" t="s">
        <v>221</v>
      </c>
      <c r="O268" s="20" t="str">
        <f>_xlfn.XLOOKUP(N268,players!A:A,players!D:D,"")</f>
        <v>Dom Sepko</v>
      </c>
      <c r="P268" s="20" cm="1">
        <f t="array" ref="P268">_xlfn.XLOOKUP(I268&amp;N268,rosterSpots!B:B&amp;rosterSpots!D:D,rosterSpots!E:E,"")</f>
        <v>3</v>
      </c>
      <c r="Q268" s="20">
        <f xml:space="preserve"> (playerGameStats!$R268 * 2) + (playerGameStats!$S268 * 3) + (playerGameStats!$T268)</f>
        <v>6</v>
      </c>
      <c r="R268" s="20">
        <v>3</v>
      </c>
      <c r="S268" s="20">
        <v>0</v>
      </c>
      <c r="T268" s="20">
        <v>0</v>
      </c>
      <c r="U268" s="23">
        <v>0</v>
      </c>
    </row>
    <row r="269" spans="1:21" x14ac:dyDescent="0.25">
      <c r="A269" s="14" t="s">
        <v>333</v>
      </c>
      <c r="B269" s="15">
        <v>2026</v>
      </c>
      <c r="C269" s="15" t="s">
        <v>36</v>
      </c>
      <c r="D269" s="15">
        <v>4</v>
      </c>
      <c r="E269" s="16">
        <v>46140</v>
      </c>
      <c r="F269" s="17">
        <v>0.85416666666666663</v>
      </c>
      <c r="G269" s="15" t="s">
        <v>18</v>
      </c>
      <c r="H269" s="15" t="s">
        <v>310</v>
      </c>
      <c r="I269" s="15" t="s">
        <v>294</v>
      </c>
      <c r="J269" s="15" t="s">
        <v>10</v>
      </c>
      <c r="K269" s="15" t="s">
        <v>42</v>
      </c>
      <c r="L269" s="15" t="s">
        <v>14</v>
      </c>
      <c r="M269" s="15" t="s">
        <v>43</v>
      </c>
      <c r="N269" s="15" t="s">
        <v>218</v>
      </c>
      <c r="O269" s="15" t="str">
        <f>_xlfn.XLOOKUP(N269,players!A:A,players!D:D,"")</f>
        <v>Guy Johnson</v>
      </c>
      <c r="P269" s="15" cm="1">
        <f t="array" ref="P269">_xlfn.XLOOKUP(I269&amp;N269,rosterSpots!B:B&amp;rosterSpots!D:D,rosterSpots!E:E,"")</f>
        <v>9</v>
      </c>
      <c r="Q269" s="15">
        <f xml:space="preserve"> (playerGameStats!$R269 * 2) + (playerGameStats!$S269 * 3) + (playerGameStats!$T269)</f>
        <v>15</v>
      </c>
      <c r="R269" s="15">
        <v>2</v>
      </c>
      <c r="S269" s="15">
        <v>3</v>
      </c>
      <c r="T269" s="15">
        <v>2</v>
      </c>
      <c r="U269" s="18">
        <v>3</v>
      </c>
    </row>
    <row r="270" spans="1:21" x14ac:dyDescent="0.25">
      <c r="A270" s="19" t="s">
        <v>333</v>
      </c>
      <c r="B270" s="20">
        <v>2026</v>
      </c>
      <c r="C270" s="20" t="s">
        <v>36</v>
      </c>
      <c r="D270" s="20">
        <v>4</v>
      </c>
      <c r="E270" s="21">
        <v>46140</v>
      </c>
      <c r="F270" s="22">
        <v>0.85416666666666663</v>
      </c>
      <c r="G270" s="20" t="s">
        <v>18</v>
      </c>
      <c r="H270" s="20" t="s">
        <v>310</v>
      </c>
      <c r="I270" s="20" t="s">
        <v>294</v>
      </c>
      <c r="J270" s="20" t="s">
        <v>10</v>
      </c>
      <c r="K270" s="20" t="s">
        <v>42</v>
      </c>
      <c r="L270" s="20" t="s">
        <v>14</v>
      </c>
      <c r="M270" s="20" t="s">
        <v>43</v>
      </c>
      <c r="N270" s="20" t="s">
        <v>222</v>
      </c>
      <c r="O270" s="20" t="str">
        <f>_xlfn.XLOOKUP(N270,players!A:A,players!D:D,"")</f>
        <v>Matt Morini</v>
      </c>
      <c r="P270" s="20" cm="1">
        <f t="array" ref="P270">_xlfn.XLOOKUP(I270&amp;N270,rosterSpots!B:B&amp;rosterSpots!D:D,rosterSpots!E:E,"")</f>
        <v>11</v>
      </c>
      <c r="Q270" s="20">
        <f xml:space="preserve"> (playerGameStats!$R270 * 2) + (playerGameStats!$S270 * 3) + (playerGameStats!$T270)</f>
        <v>3</v>
      </c>
      <c r="R270" s="20">
        <v>0</v>
      </c>
      <c r="S270" s="20">
        <v>1</v>
      </c>
      <c r="T270" s="20">
        <v>0</v>
      </c>
      <c r="U270" s="23">
        <v>0</v>
      </c>
    </row>
    <row r="271" spans="1:21" x14ac:dyDescent="0.25">
      <c r="A271" s="14" t="s">
        <v>333</v>
      </c>
      <c r="B271" s="15">
        <v>2026</v>
      </c>
      <c r="C271" s="15" t="s">
        <v>36</v>
      </c>
      <c r="D271" s="15">
        <v>4</v>
      </c>
      <c r="E271" s="16">
        <v>46140</v>
      </c>
      <c r="F271" s="17">
        <v>0.85416666666666663</v>
      </c>
      <c r="G271" s="15" t="s">
        <v>18</v>
      </c>
      <c r="H271" s="15" t="s">
        <v>310</v>
      </c>
      <c r="I271" s="15" t="s">
        <v>294</v>
      </c>
      <c r="J271" s="15" t="s">
        <v>10</v>
      </c>
      <c r="K271" s="15" t="s">
        <v>42</v>
      </c>
      <c r="L271" s="15" t="s">
        <v>14</v>
      </c>
      <c r="M271" s="15" t="s">
        <v>43</v>
      </c>
      <c r="N271" s="15" t="s">
        <v>223</v>
      </c>
      <c r="O271" s="15" t="str">
        <f>_xlfn.XLOOKUP(N271,players!A:A,players!D:D,"")</f>
        <v>Clayton Kunzweiler</v>
      </c>
      <c r="P271" s="15" cm="1">
        <f t="array" ref="P271">_xlfn.XLOOKUP(I271&amp;N271,rosterSpots!B:B&amp;rosterSpots!D:D,rosterSpots!E:E,"")</f>
        <v>13</v>
      </c>
      <c r="Q271" s="15">
        <f xml:space="preserve"> (playerGameStats!$R271 * 2) + (playerGameStats!$S271 * 3) + (playerGameStats!$T271)</f>
        <v>13</v>
      </c>
      <c r="R271" s="15">
        <v>4</v>
      </c>
      <c r="S271" s="15">
        <v>0</v>
      </c>
      <c r="T271" s="15">
        <v>5</v>
      </c>
      <c r="U271" s="18">
        <v>8</v>
      </c>
    </row>
    <row r="272" spans="1:21" x14ac:dyDescent="0.25">
      <c r="A272" s="19" t="s">
        <v>333</v>
      </c>
      <c r="B272" s="20">
        <v>2026</v>
      </c>
      <c r="C272" s="20" t="s">
        <v>36</v>
      </c>
      <c r="D272" s="20">
        <v>4</v>
      </c>
      <c r="E272" s="21">
        <v>46140</v>
      </c>
      <c r="F272" s="22">
        <v>0.85416666666666663</v>
      </c>
      <c r="G272" s="20" t="s">
        <v>18</v>
      </c>
      <c r="H272" s="20" t="s">
        <v>310</v>
      </c>
      <c r="I272" s="20" t="s">
        <v>294</v>
      </c>
      <c r="J272" s="20" t="s">
        <v>10</v>
      </c>
      <c r="K272" s="20" t="s">
        <v>42</v>
      </c>
      <c r="L272" s="20" t="s">
        <v>14</v>
      </c>
      <c r="M272" s="20" t="s">
        <v>43</v>
      </c>
      <c r="N272" s="20" t="s">
        <v>220</v>
      </c>
      <c r="O272" s="20" t="str">
        <f>_xlfn.XLOOKUP(N272,players!A:A,players!D:D,"")</f>
        <v>Ryan Chapman</v>
      </c>
      <c r="P272" s="20" cm="1">
        <f t="array" ref="P272">_xlfn.XLOOKUP(I272&amp;N272,rosterSpots!B:B&amp;rosterSpots!D:D,rosterSpots!E:E,"")</f>
        <v>20</v>
      </c>
      <c r="Q272" s="20">
        <f xml:space="preserve"> (playerGameStats!$R272 * 2) + (playerGameStats!$S272 * 3) + (playerGameStats!$T272)</f>
        <v>0</v>
      </c>
      <c r="R272" s="20">
        <v>0</v>
      </c>
      <c r="S272" s="20">
        <v>0</v>
      </c>
      <c r="T272" s="20">
        <v>0</v>
      </c>
      <c r="U272" s="23">
        <v>0</v>
      </c>
    </row>
    <row r="273" spans="1:21" x14ac:dyDescent="0.25">
      <c r="A273" s="14" t="s">
        <v>333</v>
      </c>
      <c r="B273" s="15">
        <v>2026</v>
      </c>
      <c r="C273" s="15" t="s">
        <v>36</v>
      </c>
      <c r="D273" s="15">
        <v>4</v>
      </c>
      <c r="E273" s="16">
        <v>46140</v>
      </c>
      <c r="F273" s="17">
        <v>0.85416666666666663</v>
      </c>
      <c r="G273" s="15" t="s">
        <v>18</v>
      </c>
      <c r="H273" s="15" t="s">
        <v>310</v>
      </c>
      <c r="I273" s="15" t="s">
        <v>294</v>
      </c>
      <c r="J273" s="15" t="s">
        <v>10</v>
      </c>
      <c r="K273" s="15" t="s">
        <v>42</v>
      </c>
      <c r="L273" s="15" t="s">
        <v>14</v>
      </c>
      <c r="M273" s="15" t="s">
        <v>43</v>
      </c>
      <c r="N273" s="15" t="s">
        <v>224</v>
      </c>
      <c r="O273" s="15" t="str">
        <f>_xlfn.XLOOKUP(N273,players!A:A,players!D:D,"")</f>
        <v>MJ Pierre</v>
      </c>
      <c r="P273" s="15" cm="1">
        <f t="array" ref="P273">_xlfn.XLOOKUP(I273&amp;N273,rosterSpots!B:B&amp;rosterSpots!D:D,rosterSpots!E:E,"")</f>
        <v>24</v>
      </c>
      <c r="Q273" s="15">
        <f xml:space="preserve"> (playerGameStats!$R273 * 2) + (playerGameStats!$S273 * 3) + (playerGameStats!$T273)</f>
        <v>4</v>
      </c>
      <c r="R273" s="15">
        <v>1</v>
      </c>
      <c r="S273" s="15">
        <v>0</v>
      </c>
      <c r="T273" s="15">
        <v>2</v>
      </c>
      <c r="U273" s="18">
        <v>2</v>
      </c>
    </row>
    <row r="274" spans="1:21" x14ac:dyDescent="0.25">
      <c r="A274" s="19" t="s">
        <v>333</v>
      </c>
      <c r="B274" s="20">
        <v>2026</v>
      </c>
      <c r="C274" s="20" t="s">
        <v>36</v>
      </c>
      <c r="D274" s="20">
        <v>4</v>
      </c>
      <c r="E274" s="21">
        <v>46140</v>
      </c>
      <c r="F274" s="22">
        <v>0.85416666666666663</v>
      </c>
      <c r="G274" s="20" t="s">
        <v>18</v>
      </c>
      <c r="H274" s="20" t="s">
        <v>310</v>
      </c>
      <c r="I274" s="20" t="s">
        <v>294</v>
      </c>
      <c r="J274" s="20" t="s">
        <v>10</v>
      </c>
      <c r="K274" s="20" t="s">
        <v>42</v>
      </c>
      <c r="L274" s="20" t="s">
        <v>14</v>
      </c>
      <c r="M274" s="20" t="s">
        <v>43</v>
      </c>
      <c r="N274" s="20" t="s">
        <v>217</v>
      </c>
      <c r="O274" s="20" t="str">
        <f>_xlfn.XLOOKUP(N274,players!A:A,players!D:D,"")</f>
        <v>Sean Denson</v>
      </c>
      <c r="P274" s="20" cm="1">
        <f t="array" ref="P274">_xlfn.XLOOKUP(I274&amp;N274,rosterSpots!B:B&amp;rosterSpots!D:D,rosterSpots!E:E,"")</f>
        <v>33</v>
      </c>
      <c r="Q274" s="20">
        <f xml:space="preserve"> (playerGameStats!$R274 * 2) + (playerGameStats!$S274 * 3) + (playerGameStats!$T274)</f>
        <v>7</v>
      </c>
      <c r="R274" s="20">
        <v>1</v>
      </c>
      <c r="S274" s="20">
        <v>1</v>
      </c>
      <c r="T274" s="20">
        <v>2</v>
      </c>
      <c r="U274" s="23">
        <v>2</v>
      </c>
    </row>
    <row r="275" spans="1:21" x14ac:dyDescent="0.25">
      <c r="A275" s="14" t="s">
        <v>333</v>
      </c>
      <c r="B275" s="15">
        <v>2026</v>
      </c>
      <c r="C275" s="15" t="s">
        <v>36</v>
      </c>
      <c r="D275" s="15">
        <v>4</v>
      </c>
      <c r="E275" s="16">
        <v>46140</v>
      </c>
      <c r="F275" s="17">
        <v>0.85416666666666663</v>
      </c>
      <c r="G275" s="15" t="s">
        <v>18</v>
      </c>
      <c r="H275" s="15" t="s">
        <v>310</v>
      </c>
      <c r="I275" s="15" t="s">
        <v>299</v>
      </c>
      <c r="J275" s="15" t="s">
        <v>14</v>
      </c>
      <c r="K275" s="15" t="s">
        <v>43</v>
      </c>
      <c r="L275" s="15" t="s">
        <v>10</v>
      </c>
      <c r="M275" s="15" t="s">
        <v>42</v>
      </c>
      <c r="N275" s="15" t="s">
        <v>268</v>
      </c>
      <c r="O275" s="15" t="str">
        <f>_xlfn.XLOOKUP(N275,players!A:A,players!D:D,"")</f>
        <v>Bassang Atoulelou</v>
      </c>
      <c r="P275" s="15" cm="1">
        <f t="array" ref="P275">_xlfn.XLOOKUP(I275&amp;N275,rosterSpots!B:B&amp;rosterSpots!D:D,rosterSpots!E:E,"")</f>
        <v>2</v>
      </c>
      <c r="Q275" s="15">
        <f xml:space="preserve"> (playerGameStats!$R275 * 2) + (playerGameStats!$S275 * 3) + (playerGameStats!$T275)</f>
        <v>7</v>
      </c>
      <c r="R275" s="15">
        <v>2</v>
      </c>
      <c r="S275" s="15">
        <v>1</v>
      </c>
      <c r="T275" s="15">
        <v>0</v>
      </c>
      <c r="U275" s="18">
        <v>0</v>
      </c>
    </row>
    <row r="276" spans="1:21" x14ac:dyDescent="0.25">
      <c r="A276" s="19" t="s">
        <v>333</v>
      </c>
      <c r="B276" s="20">
        <v>2026</v>
      </c>
      <c r="C276" s="20" t="s">
        <v>36</v>
      </c>
      <c r="D276" s="20">
        <v>4</v>
      </c>
      <c r="E276" s="21">
        <v>46140</v>
      </c>
      <c r="F276" s="22">
        <v>0.85416666666666663</v>
      </c>
      <c r="G276" s="20" t="s">
        <v>18</v>
      </c>
      <c r="H276" s="20" t="s">
        <v>310</v>
      </c>
      <c r="I276" s="20" t="s">
        <v>299</v>
      </c>
      <c r="J276" s="20" t="s">
        <v>14</v>
      </c>
      <c r="K276" s="20" t="s">
        <v>43</v>
      </c>
      <c r="L276" s="20" t="s">
        <v>10</v>
      </c>
      <c r="M276" s="20" t="s">
        <v>42</v>
      </c>
      <c r="N276" s="20" t="s">
        <v>272</v>
      </c>
      <c r="O276" s="20" t="str">
        <f>_xlfn.XLOOKUP(N276,players!A:A,players!D:D,"")</f>
        <v>Bryce Meredith</v>
      </c>
      <c r="P276" s="20" cm="1">
        <f t="array" ref="P276">_xlfn.XLOOKUP(I276&amp;N276,rosterSpots!B:B&amp;rosterSpots!D:D,rosterSpots!E:E,"")</f>
        <v>3</v>
      </c>
      <c r="Q276" s="20">
        <f xml:space="preserve"> (playerGameStats!$R276 * 2) + (playerGameStats!$S276 * 3) + (playerGameStats!$T276)</f>
        <v>2</v>
      </c>
      <c r="R276" s="20">
        <v>1</v>
      </c>
      <c r="S276" s="20">
        <v>0</v>
      </c>
      <c r="T276" s="20">
        <v>0</v>
      </c>
      <c r="U276" s="23">
        <v>0</v>
      </c>
    </row>
    <row r="277" spans="1:21" x14ac:dyDescent="0.25">
      <c r="A277" s="14" t="s">
        <v>333</v>
      </c>
      <c r="B277" s="15">
        <v>2026</v>
      </c>
      <c r="C277" s="15" t="s">
        <v>36</v>
      </c>
      <c r="D277" s="15">
        <v>4</v>
      </c>
      <c r="E277" s="16">
        <v>46140</v>
      </c>
      <c r="F277" s="17">
        <v>0.85416666666666663</v>
      </c>
      <c r="G277" s="15" t="s">
        <v>18</v>
      </c>
      <c r="H277" s="15" t="s">
        <v>310</v>
      </c>
      <c r="I277" s="15" t="s">
        <v>299</v>
      </c>
      <c r="J277" s="15" t="s">
        <v>14</v>
      </c>
      <c r="K277" s="15" t="s">
        <v>43</v>
      </c>
      <c r="L277" s="15" t="s">
        <v>10</v>
      </c>
      <c r="M277" s="15" t="s">
        <v>42</v>
      </c>
      <c r="N277" s="15" t="s">
        <v>267</v>
      </c>
      <c r="O277" s="15" t="str">
        <f>_xlfn.XLOOKUP(N277,players!A:A,players!D:D,"")</f>
        <v>Keshon Coleman</v>
      </c>
      <c r="P277" s="15" cm="1">
        <f t="array" ref="P277">_xlfn.XLOOKUP(I277&amp;N277,rosterSpots!B:B&amp;rosterSpots!D:D,rosterSpots!E:E,"")</f>
        <v>4</v>
      </c>
      <c r="Q277" s="15">
        <f xml:space="preserve"> (playerGameStats!$R277 * 2) + (playerGameStats!$S277 * 3) + (playerGameStats!$T277)</f>
        <v>5</v>
      </c>
      <c r="R277" s="15">
        <v>1</v>
      </c>
      <c r="S277" s="15">
        <v>1</v>
      </c>
      <c r="T277" s="15">
        <v>0</v>
      </c>
      <c r="U277" s="18">
        <v>0</v>
      </c>
    </row>
    <row r="278" spans="1:21" x14ac:dyDescent="0.25">
      <c r="A278" s="19" t="s">
        <v>333</v>
      </c>
      <c r="B278" s="20">
        <v>2026</v>
      </c>
      <c r="C278" s="20" t="s">
        <v>36</v>
      </c>
      <c r="D278" s="20">
        <v>4</v>
      </c>
      <c r="E278" s="21">
        <v>46140</v>
      </c>
      <c r="F278" s="22">
        <v>0.85416666666666663</v>
      </c>
      <c r="G278" s="20" t="s">
        <v>18</v>
      </c>
      <c r="H278" s="20" t="s">
        <v>310</v>
      </c>
      <c r="I278" s="20" t="s">
        <v>299</v>
      </c>
      <c r="J278" s="20" t="s">
        <v>14</v>
      </c>
      <c r="K278" s="20" t="s">
        <v>43</v>
      </c>
      <c r="L278" s="20" t="s">
        <v>10</v>
      </c>
      <c r="M278" s="20" t="s">
        <v>42</v>
      </c>
      <c r="N278" s="20" t="s">
        <v>264</v>
      </c>
      <c r="O278" s="20" t="str">
        <f>_xlfn.XLOOKUP(N278,players!A:A,players!D:D,"")</f>
        <v/>
      </c>
      <c r="P278" s="20" cm="1">
        <f t="array" ref="P278">_xlfn.XLOOKUP(I278&amp;N278,rosterSpots!B:B&amp;rosterSpots!D:D,rosterSpots!E:E,"")</f>
        <v>6</v>
      </c>
      <c r="Q278" s="20">
        <f xml:space="preserve"> (playerGameStats!$R278 * 2) + (playerGameStats!$S278 * 3) + (playerGameStats!$T278)</f>
        <v>3</v>
      </c>
      <c r="R278" s="20">
        <v>0</v>
      </c>
      <c r="S278" s="20">
        <v>1</v>
      </c>
      <c r="T278" s="20">
        <v>0</v>
      </c>
      <c r="U278" s="23">
        <v>0</v>
      </c>
    </row>
    <row r="279" spans="1:21" x14ac:dyDescent="0.25">
      <c r="A279" s="14" t="s">
        <v>333</v>
      </c>
      <c r="B279" s="15">
        <v>2026</v>
      </c>
      <c r="C279" s="15" t="s">
        <v>36</v>
      </c>
      <c r="D279" s="15">
        <v>4</v>
      </c>
      <c r="E279" s="16">
        <v>46140</v>
      </c>
      <c r="F279" s="17">
        <v>0.85416666666666663</v>
      </c>
      <c r="G279" s="15" t="s">
        <v>18</v>
      </c>
      <c r="H279" s="15" t="s">
        <v>310</v>
      </c>
      <c r="I279" s="15" t="s">
        <v>299</v>
      </c>
      <c r="J279" s="15" t="s">
        <v>14</v>
      </c>
      <c r="K279" s="15" t="s">
        <v>43</v>
      </c>
      <c r="L279" s="15" t="s">
        <v>10</v>
      </c>
      <c r="M279" s="15" t="s">
        <v>42</v>
      </c>
      <c r="N279" s="15" t="s">
        <v>262</v>
      </c>
      <c r="O279" s="15" t="str">
        <f>_xlfn.XLOOKUP(N279,players!A:A,players!D:D,"")</f>
        <v>Connor Thomas</v>
      </c>
      <c r="P279" s="15" cm="1">
        <f t="array" ref="P279">_xlfn.XLOOKUP(I279&amp;N279,rosterSpots!B:B&amp;rosterSpots!D:D,rosterSpots!E:E,"")</f>
        <v>9</v>
      </c>
      <c r="Q279" s="15">
        <f xml:space="preserve"> (playerGameStats!$R279 * 2) + (playerGameStats!$S279 * 3) + (playerGameStats!$T279)</f>
        <v>4</v>
      </c>
      <c r="R279" s="15">
        <v>1</v>
      </c>
      <c r="S279" s="15">
        <v>0</v>
      </c>
      <c r="T279" s="15">
        <v>2</v>
      </c>
      <c r="U279" s="18">
        <v>3</v>
      </c>
    </row>
    <row r="280" spans="1:21" x14ac:dyDescent="0.25">
      <c r="A280" s="19" t="s">
        <v>333</v>
      </c>
      <c r="B280" s="20">
        <v>2026</v>
      </c>
      <c r="C280" s="20" t="s">
        <v>36</v>
      </c>
      <c r="D280" s="20">
        <v>4</v>
      </c>
      <c r="E280" s="21">
        <v>46140</v>
      </c>
      <c r="F280" s="22">
        <v>0.85416666666666663</v>
      </c>
      <c r="G280" s="20" t="s">
        <v>18</v>
      </c>
      <c r="H280" s="20" t="s">
        <v>310</v>
      </c>
      <c r="I280" s="20" t="s">
        <v>299</v>
      </c>
      <c r="J280" s="20" t="s">
        <v>14</v>
      </c>
      <c r="K280" s="20" t="s">
        <v>43</v>
      </c>
      <c r="L280" s="20" t="s">
        <v>10</v>
      </c>
      <c r="M280" s="20" t="s">
        <v>42</v>
      </c>
      <c r="N280" s="20" t="s">
        <v>263</v>
      </c>
      <c r="O280" s="20" t="str">
        <f>_xlfn.XLOOKUP(N280,players!A:A,players!D:D,"")</f>
        <v>Connor Holm</v>
      </c>
      <c r="P280" s="20" cm="1">
        <f t="array" ref="P280">_xlfn.XLOOKUP(I280&amp;N280,rosterSpots!B:B&amp;rosterSpots!D:D,rosterSpots!E:E,"")</f>
        <v>12</v>
      </c>
      <c r="Q280" s="20">
        <f xml:space="preserve"> (playerGameStats!$R280 * 2) + (playerGameStats!$S280 * 3) + (playerGameStats!$T280)</f>
        <v>4</v>
      </c>
      <c r="R280" s="20">
        <v>1</v>
      </c>
      <c r="S280" s="20">
        <v>0</v>
      </c>
      <c r="T280" s="20">
        <v>2</v>
      </c>
      <c r="U280" s="23">
        <v>4</v>
      </c>
    </row>
    <row r="281" spans="1:21" x14ac:dyDescent="0.25">
      <c r="A281" s="14" t="s">
        <v>332</v>
      </c>
      <c r="B281" s="15">
        <v>2026</v>
      </c>
      <c r="C281" s="15" t="s">
        <v>36</v>
      </c>
      <c r="D281" s="15">
        <v>4</v>
      </c>
      <c r="E281" s="16">
        <v>46141</v>
      </c>
      <c r="F281" s="17">
        <v>0.77083333333333337</v>
      </c>
      <c r="G281" s="15" t="s">
        <v>18</v>
      </c>
      <c r="H281" s="15" t="s">
        <v>310</v>
      </c>
      <c r="I281" s="15" t="s">
        <v>295</v>
      </c>
      <c r="J281" s="15" t="s">
        <v>11</v>
      </c>
      <c r="K281" s="15" t="s">
        <v>45</v>
      </c>
      <c r="L281" s="15" t="s">
        <v>16</v>
      </c>
      <c r="M281" s="15" t="s">
        <v>44</v>
      </c>
      <c r="N281" s="15" t="s">
        <v>232</v>
      </c>
      <c r="O281" s="15" t="str">
        <f>_xlfn.XLOOKUP(N281,players!A:A,players!D:D,"")</f>
        <v>Patrick Bellino</v>
      </c>
      <c r="P281" s="15" cm="1">
        <f t="array" ref="P281">_xlfn.XLOOKUP(I281&amp;N281,rosterSpots!B:B&amp;rosterSpots!D:D,rosterSpots!E:E,"")</f>
        <v>1</v>
      </c>
      <c r="Q281" s="15">
        <f xml:space="preserve"> (playerGameStats!$R281 * 2) + (playerGameStats!$S281 * 3) + (playerGameStats!$T281)</f>
        <v>0</v>
      </c>
      <c r="R281" s="15">
        <v>0</v>
      </c>
      <c r="S281" s="15">
        <v>0</v>
      </c>
      <c r="T281" s="15">
        <v>0</v>
      </c>
      <c r="U281" s="18">
        <v>0</v>
      </c>
    </row>
    <row r="282" spans="1:21" x14ac:dyDescent="0.25">
      <c r="A282" s="19" t="s">
        <v>332</v>
      </c>
      <c r="B282" s="20">
        <v>2026</v>
      </c>
      <c r="C282" s="20" t="s">
        <v>36</v>
      </c>
      <c r="D282" s="20">
        <v>4</v>
      </c>
      <c r="E282" s="21">
        <v>46141</v>
      </c>
      <c r="F282" s="22">
        <v>0.77083333333333337</v>
      </c>
      <c r="G282" s="20" t="s">
        <v>18</v>
      </c>
      <c r="H282" s="20" t="s">
        <v>310</v>
      </c>
      <c r="I282" s="20" t="s">
        <v>295</v>
      </c>
      <c r="J282" s="20" t="s">
        <v>11</v>
      </c>
      <c r="K282" s="20" t="s">
        <v>45</v>
      </c>
      <c r="L282" s="20" t="s">
        <v>16</v>
      </c>
      <c r="M282" s="20" t="s">
        <v>44</v>
      </c>
      <c r="N282" s="20" t="s">
        <v>227</v>
      </c>
      <c r="O282" s="20" t="str">
        <f>_xlfn.XLOOKUP(N282,players!A:A,players!D:D,"")</f>
        <v>Dave Homsher</v>
      </c>
      <c r="P282" s="20" cm="1">
        <f t="array" ref="P282">_xlfn.XLOOKUP(I282&amp;N282,rosterSpots!B:B&amp;rosterSpots!D:D,rosterSpots!E:E,"")</f>
        <v>3</v>
      </c>
      <c r="Q282" s="20">
        <f xml:space="preserve"> (playerGameStats!$R282 * 2) + (playerGameStats!$S282 * 3) + (playerGameStats!$T282)</f>
        <v>29</v>
      </c>
      <c r="R282" s="20">
        <v>2</v>
      </c>
      <c r="S282" s="20">
        <v>7</v>
      </c>
      <c r="T282" s="20">
        <v>4</v>
      </c>
      <c r="U282" s="23">
        <v>5</v>
      </c>
    </row>
    <row r="283" spans="1:21" x14ac:dyDescent="0.25">
      <c r="A283" s="14" t="s">
        <v>332</v>
      </c>
      <c r="B283" s="15">
        <v>2026</v>
      </c>
      <c r="C283" s="15" t="s">
        <v>36</v>
      </c>
      <c r="D283" s="15">
        <v>4</v>
      </c>
      <c r="E283" s="16">
        <v>46141</v>
      </c>
      <c r="F283" s="17">
        <v>0.77083333333333337</v>
      </c>
      <c r="G283" s="15" t="s">
        <v>18</v>
      </c>
      <c r="H283" s="15" t="s">
        <v>310</v>
      </c>
      <c r="I283" s="15" t="s">
        <v>295</v>
      </c>
      <c r="J283" s="15" t="s">
        <v>11</v>
      </c>
      <c r="K283" s="15" t="s">
        <v>45</v>
      </c>
      <c r="L283" s="15" t="s">
        <v>16</v>
      </c>
      <c r="M283" s="15" t="s">
        <v>44</v>
      </c>
      <c r="N283" s="15" t="s">
        <v>230</v>
      </c>
      <c r="O283" s="15" t="str">
        <f>_xlfn.XLOOKUP(N283,players!A:A,players!D:D,"")</f>
        <v>Angel Carrion</v>
      </c>
      <c r="P283" s="15" cm="1">
        <f t="array" ref="P283">_xlfn.XLOOKUP(I283&amp;N283,rosterSpots!B:B&amp;rosterSpots!D:D,rosterSpots!E:E,"")</f>
        <v>7</v>
      </c>
      <c r="Q283" s="15">
        <f xml:space="preserve"> (playerGameStats!$R283 * 2) + (playerGameStats!$S283 * 3) + (playerGameStats!$T283)</f>
        <v>3</v>
      </c>
      <c r="R283" s="15">
        <v>0</v>
      </c>
      <c r="S283" s="15">
        <v>1</v>
      </c>
      <c r="T283" s="15">
        <v>0</v>
      </c>
      <c r="U283" s="18">
        <v>0</v>
      </c>
    </row>
    <row r="284" spans="1:21" x14ac:dyDescent="0.25">
      <c r="A284" s="19" t="s">
        <v>332</v>
      </c>
      <c r="B284" s="20">
        <v>2026</v>
      </c>
      <c r="C284" s="20" t="s">
        <v>36</v>
      </c>
      <c r="D284" s="20">
        <v>4</v>
      </c>
      <c r="E284" s="21">
        <v>46141</v>
      </c>
      <c r="F284" s="22">
        <v>0.77083333333333337</v>
      </c>
      <c r="G284" s="20" t="s">
        <v>18</v>
      </c>
      <c r="H284" s="20" t="s">
        <v>310</v>
      </c>
      <c r="I284" s="20" t="s">
        <v>295</v>
      </c>
      <c r="J284" s="20" t="s">
        <v>11</v>
      </c>
      <c r="K284" s="20" t="s">
        <v>45</v>
      </c>
      <c r="L284" s="20" t="s">
        <v>16</v>
      </c>
      <c r="M284" s="20" t="s">
        <v>44</v>
      </c>
      <c r="N284" s="20" t="s">
        <v>307</v>
      </c>
      <c r="O284" s="20" t="str">
        <f>_xlfn.XLOOKUP(N284,players!A:A,players!D:D,"")</f>
        <v>Thomas Nasto</v>
      </c>
      <c r="P284" s="20" cm="1">
        <f t="array" ref="P284">_xlfn.XLOOKUP(I284&amp;N284,rosterSpots!B:B&amp;rosterSpots!D:D,rosterSpots!E:E,"")</f>
        <v>9</v>
      </c>
      <c r="Q284" s="20">
        <f xml:space="preserve"> (playerGameStats!$R284 * 2) + (playerGameStats!$S284 * 3) + (playerGameStats!$T284)</f>
        <v>0</v>
      </c>
      <c r="R284" s="20">
        <v>0</v>
      </c>
      <c r="S284" s="20">
        <v>0</v>
      </c>
      <c r="T284" s="20">
        <v>0</v>
      </c>
      <c r="U284" s="23">
        <v>0</v>
      </c>
    </row>
    <row r="285" spans="1:21" x14ac:dyDescent="0.25">
      <c r="A285" s="14" t="s">
        <v>332</v>
      </c>
      <c r="B285" s="15">
        <v>2026</v>
      </c>
      <c r="C285" s="15" t="s">
        <v>36</v>
      </c>
      <c r="D285" s="15">
        <v>4</v>
      </c>
      <c r="E285" s="16">
        <v>46141</v>
      </c>
      <c r="F285" s="17">
        <v>0.77083333333333337</v>
      </c>
      <c r="G285" s="15" t="s">
        <v>18</v>
      </c>
      <c r="H285" s="15" t="s">
        <v>310</v>
      </c>
      <c r="I285" s="15" t="s">
        <v>295</v>
      </c>
      <c r="J285" s="15" t="s">
        <v>11</v>
      </c>
      <c r="K285" s="15" t="s">
        <v>45</v>
      </c>
      <c r="L285" s="15" t="s">
        <v>16</v>
      </c>
      <c r="M285" s="15" t="s">
        <v>44</v>
      </c>
      <c r="N285" s="15" t="s">
        <v>233</v>
      </c>
      <c r="O285" s="15" t="str">
        <f>_xlfn.XLOOKUP(N285,players!A:A,players!D:D,"")</f>
        <v>Dylan Meyler</v>
      </c>
      <c r="P285" s="15" cm="1">
        <f t="array" ref="P285">_xlfn.XLOOKUP(I285&amp;N285,rosterSpots!B:B&amp;rosterSpots!D:D,rosterSpots!E:E,"")</f>
        <v>10</v>
      </c>
      <c r="Q285" s="15">
        <f xml:space="preserve"> (playerGameStats!$R285 * 2) + (playerGameStats!$S285 * 3) + (playerGameStats!$T285)</f>
        <v>0</v>
      </c>
      <c r="R285" s="15">
        <v>0</v>
      </c>
      <c r="S285" s="15">
        <v>0</v>
      </c>
      <c r="T285" s="15">
        <v>0</v>
      </c>
      <c r="U285" s="18">
        <v>0</v>
      </c>
    </row>
    <row r="286" spans="1:21" x14ac:dyDescent="0.25">
      <c r="A286" s="19" t="s">
        <v>332</v>
      </c>
      <c r="B286" s="20">
        <v>2026</v>
      </c>
      <c r="C286" s="20" t="s">
        <v>36</v>
      </c>
      <c r="D286" s="20">
        <v>4</v>
      </c>
      <c r="E286" s="21">
        <v>46141</v>
      </c>
      <c r="F286" s="22">
        <v>0.77083333333333337</v>
      </c>
      <c r="G286" s="20" t="s">
        <v>18</v>
      </c>
      <c r="H286" s="20" t="s">
        <v>310</v>
      </c>
      <c r="I286" s="20" t="s">
        <v>295</v>
      </c>
      <c r="J286" s="20" t="s">
        <v>11</v>
      </c>
      <c r="K286" s="20" t="s">
        <v>45</v>
      </c>
      <c r="L286" s="20" t="s">
        <v>16</v>
      </c>
      <c r="M286" s="20" t="s">
        <v>44</v>
      </c>
      <c r="N286" s="20" t="s">
        <v>228</v>
      </c>
      <c r="O286" s="20" t="str">
        <f>_xlfn.XLOOKUP(N286,players!A:A,players!D:D,"")</f>
        <v>Scott Brusseler</v>
      </c>
      <c r="P286" s="20" cm="1">
        <f t="array" ref="P286">_xlfn.XLOOKUP(I286&amp;N286,rosterSpots!B:B&amp;rosterSpots!D:D,rosterSpots!E:E,"")</f>
        <v>14</v>
      </c>
      <c r="Q286" s="20">
        <f xml:space="preserve"> (playerGameStats!$R286 * 2) + (playerGameStats!$S286 * 3) + (playerGameStats!$T286)</f>
        <v>5</v>
      </c>
      <c r="R286" s="20">
        <v>0</v>
      </c>
      <c r="S286" s="20">
        <v>1</v>
      </c>
      <c r="T286" s="20">
        <v>2</v>
      </c>
      <c r="U286" s="23">
        <v>2</v>
      </c>
    </row>
    <row r="287" spans="1:21" x14ac:dyDescent="0.25">
      <c r="A287" s="14" t="s">
        <v>332</v>
      </c>
      <c r="B287" s="15">
        <v>2026</v>
      </c>
      <c r="C287" s="15" t="s">
        <v>36</v>
      </c>
      <c r="D287" s="15">
        <v>4</v>
      </c>
      <c r="E287" s="16">
        <v>46141</v>
      </c>
      <c r="F287" s="17">
        <v>0.77083333333333337</v>
      </c>
      <c r="G287" s="15" t="s">
        <v>18</v>
      </c>
      <c r="H287" s="15" t="s">
        <v>310</v>
      </c>
      <c r="I287" s="15" t="s">
        <v>295</v>
      </c>
      <c r="J287" s="15" t="s">
        <v>11</v>
      </c>
      <c r="K287" s="15" t="s">
        <v>45</v>
      </c>
      <c r="L287" s="15" t="s">
        <v>16</v>
      </c>
      <c r="M287" s="15" t="s">
        <v>44</v>
      </c>
      <c r="N287" s="15" t="s">
        <v>231</v>
      </c>
      <c r="O287" s="15" t="str">
        <f>_xlfn.XLOOKUP(N287,players!A:A,players!D:D,"")</f>
        <v>Gates Brooks</v>
      </c>
      <c r="P287" s="15" cm="1">
        <f t="array" ref="P287">_xlfn.XLOOKUP(I287&amp;N287,rosterSpots!B:B&amp;rosterSpots!D:D,rosterSpots!E:E,"")</f>
        <v>43</v>
      </c>
      <c r="Q287" s="15">
        <f xml:space="preserve"> (playerGameStats!$R287 * 2) + (playerGameStats!$S287 * 3) + (playerGameStats!$T287)</f>
        <v>4</v>
      </c>
      <c r="R287" s="15">
        <v>1</v>
      </c>
      <c r="S287" s="15">
        <v>0</v>
      </c>
      <c r="T287" s="15">
        <v>2</v>
      </c>
      <c r="U287" s="18">
        <v>2</v>
      </c>
    </row>
    <row r="288" spans="1:21" x14ac:dyDescent="0.25">
      <c r="A288" s="19" t="s">
        <v>332</v>
      </c>
      <c r="B288" s="20">
        <v>2026</v>
      </c>
      <c r="C288" s="20" t="s">
        <v>36</v>
      </c>
      <c r="D288" s="20">
        <v>4</v>
      </c>
      <c r="E288" s="21">
        <v>46141</v>
      </c>
      <c r="F288" s="22">
        <v>0.77083333333333337</v>
      </c>
      <c r="G288" s="20" t="s">
        <v>18</v>
      </c>
      <c r="H288" s="20" t="s">
        <v>310</v>
      </c>
      <c r="I288" s="20" t="s">
        <v>295</v>
      </c>
      <c r="J288" s="20" t="s">
        <v>11</v>
      </c>
      <c r="K288" s="20" t="s">
        <v>45</v>
      </c>
      <c r="L288" s="20" t="s">
        <v>16</v>
      </c>
      <c r="M288" s="20" t="s">
        <v>44</v>
      </c>
      <c r="N288" s="20" t="s">
        <v>229</v>
      </c>
      <c r="O288" s="20" t="str">
        <f>_xlfn.XLOOKUP(N288,players!A:A,players!D:D,"")</f>
        <v>Anthony Shelepets</v>
      </c>
      <c r="P288" s="20" cm="1">
        <f t="array" ref="P288">_xlfn.XLOOKUP(I288&amp;N288,rosterSpots!B:B&amp;rosterSpots!D:D,rosterSpots!E:E,"")</f>
        <v>53</v>
      </c>
      <c r="Q288" s="20">
        <f xml:space="preserve"> (playerGameStats!$R288 * 2) + (playerGameStats!$S288 * 3) + (playerGameStats!$T288)</f>
        <v>18</v>
      </c>
      <c r="R288" s="20">
        <v>7</v>
      </c>
      <c r="S288" s="20">
        <v>0</v>
      </c>
      <c r="T288" s="20">
        <v>4</v>
      </c>
      <c r="U288" s="23">
        <v>8</v>
      </c>
    </row>
    <row r="289" spans="1:21" x14ac:dyDescent="0.25">
      <c r="A289" s="14" t="s">
        <v>332</v>
      </c>
      <c r="B289" s="15">
        <v>2026</v>
      </c>
      <c r="C289" s="15" t="s">
        <v>36</v>
      </c>
      <c r="D289" s="15">
        <v>4</v>
      </c>
      <c r="E289" s="16">
        <v>46141</v>
      </c>
      <c r="F289" s="17">
        <v>0.77083333333333337</v>
      </c>
      <c r="G289" s="15" t="s">
        <v>18</v>
      </c>
      <c r="H289" s="15" t="s">
        <v>310</v>
      </c>
      <c r="I289" s="15" t="s">
        <v>300</v>
      </c>
      <c r="J289" s="15" t="s">
        <v>16</v>
      </c>
      <c r="K289" s="15" t="s">
        <v>44</v>
      </c>
      <c r="L289" s="15" t="s">
        <v>11</v>
      </c>
      <c r="M289" s="15" t="s">
        <v>45</v>
      </c>
      <c r="N289" s="15" t="s">
        <v>277</v>
      </c>
      <c r="O289" s="15" t="str">
        <f>_xlfn.XLOOKUP(N289,players!A:A,players!D:D,"")</f>
        <v>Kevin Carroll</v>
      </c>
      <c r="P289" s="15" cm="1">
        <f t="array" ref="P289">_xlfn.XLOOKUP(I289&amp;N289,rosterSpots!B:B&amp;rosterSpots!D:D,rosterSpots!E:E,"")</f>
        <v>2</v>
      </c>
      <c r="Q289" s="15">
        <f xml:space="preserve"> (playerGameStats!$R289 * 2) + (playerGameStats!$S289 * 3) + (playerGameStats!$T289)</f>
        <v>25</v>
      </c>
      <c r="R289" s="15">
        <v>2</v>
      </c>
      <c r="S289" s="15">
        <v>7</v>
      </c>
      <c r="T289" s="15">
        <v>0</v>
      </c>
      <c r="U289" s="18">
        <v>0</v>
      </c>
    </row>
    <row r="290" spans="1:21" x14ac:dyDescent="0.25">
      <c r="A290" s="19" t="s">
        <v>332</v>
      </c>
      <c r="B290" s="20">
        <v>2026</v>
      </c>
      <c r="C290" s="20" t="s">
        <v>36</v>
      </c>
      <c r="D290" s="20">
        <v>4</v>
      </c>
      <c r="E290" s="21">
        <v>46141</v>
      </c>
      <c r="F290" s="22">
        <v>0.77083333333333337</v>
      </c>
      <c r="G290" s="20" t="s">
        <v>18</v>
      </c>
      <c r="H290" s="20" t="s">
        <v>310</v>
      </c>
      <c r="I290" s="20" t="s">
        <v>300</v>
      </c>
      <c r="J290" s="20" t="s">
        <v>16</v>
      </c>
      <c r="K290" s="20" t="s">
        <v>44</v>
      </c>
      <c r="L290" s="20" t="s">
        <v>11</v>
      </c>
      <c r="M290" s="20" t="s">
        <v>45</v>
      </c>
      <c r="N290" s="20" t="s">
        <v>281</v>
      </c>
      <c r="O290" s="20" t="str">
        <f>_xlfn.XLOOKUP(N290,players!A:A,players!D:D,"")</f>
        <v>Tommy Zheng</v>
      </c>
      <c r="P290" s="20" cm="1">
        <f t="array" ref="P290">_xlfn.XLOOKUP(I290&amp;N290,rosterSpots!B:B&amp;rosterSpots!D:D,rosterSpots!E:E,"")</f>
        <v>5</v>
      </c>
      <c r="Q290" s="20">
        <f xml:space="preserve"> (playerGameStats!$R290 * 2) + (playerGameStats!$S290 * 3) + (playerGameStats!$T290)</f>
        <v>0</v>
      </c>
      <c r="R290" s="20">
        <v>0</v>
      </c>
      <c r="S290" s="20">
        <v>0</v>
      </c>
      <c r="T290" s="20">
        <v>0</v>
      </c>
      <c r="U290" s="23">
        <v>0</v>
      </c>
    </row>
    <row r="291" spans="1:21" x14ac:dyDescent="0.25">
      <c r="A291" s="14" t="s">
        <v>332</v>
      </c>
      <c r="B291" s="15">
        <v>2026</v>
      </c>
      <c r="C291" s="15" t="s">
        <v>36</v>
      </c>
      <c r="D291" s="15">
        <v>4</v>
      </c>
      <c r="E291" s="16">
        <v>46141</v>
      </c>
      <c r="F291" s="17">
        <v>0.77083333333333337</v>
      </c>
      <c r="G291" s="15" t="s">
        <v>18</v>
      </c>
      <c r="H291" s="15" t="s">
        <v>310</v>
      </c>
      <c r="I291" s="15" t="s">
        <v>300</v>
      </c>
      <c r="J291" s="15" t="s">
        <v>16</v>
      </c>
      <c r="K291" s="15" t="s">
        <v>44</v>
      </c>
      <c r="L291" s="15" t="s">
        <v>11</v>
      </c>
      <c r="M291" s="15" t="s">
        <v>45</v>
      </c>
      <c r="N291" s="15" t="s">
        <v>276</v>
      </c>
      <c r="O291" s="15" t="str">
        <f>_xlfn.XLOOKUP(N291,players!A:A,players!D:D,"")</f>
        <v>Matt Kasper</v>
      </c>
      <c r="P291" s="15" cm="1">
        <f t="array" ref="P291">_xlfn.XLOOKUP(I291&amp;N291,rosterSpots!B:B&amp;rosterSpots!D:D,rosterSpots!E:E,"")</f>
        <v>7</v>
      </c>
      <c r="Q291" s="15">
        <f xml:space="preserve"> (playerGameStats!$R291 * 2) + (playerGameStats!$S291 * 3) + (playerGameStats!$T291)</f>
        <v>2</v>
      </c>
      <c r="R291" s="15">
        <v>1</v>
      </c>
      <c r="S291" s="15">
        <v>0</v>
      </c>
      <c r="T291" s="15">
        <v>0</v>
      </c>
      <c r="U291" s="18">
        <v>2</v>
      </c>
    </row>
    <row r="292" spans="1:21" x14ac:dyDescent="0.25">
      <c r="A292" s="19" t="s">
        <v>332</v>
      </c>
      <c r="B292" s="20">
        <v>2026</v>
      </c>
      <c r="C292" s="20" t="s">
        <v>36</v>
      </c>
      <c r="D292" s="20">
        <v>4</v>
      </c>
      <c r="E292" s="21">
        <v>46141</v>
      </c>
      <c r="F292" s="22">
        <v>0.77083333333333337</v>
      </c>
      <c r="G292" s="20" t="s">
        <v>18</v>
      </c>
      <c r="H292" s="20" t="s">
        <v>310</v>
      </c>
      <c r="I292" s="20" t="s">
        <v>300</v>
      </c>
      <c r="J292" s="20" t="s">
        <v>16</v>
      </c>
      <c r="K292" s="20" t="s">
        <v>44</v>
      </c>
      <c r="L292" s="20" t="s">
        <v>11</v>
      </c>
      <c r="M292" s="20" t="s">
        <v>45</v>
      </c>
      <c r="N292" s="20" t="s">
        <v>278</v>
      </c>
      <c r="O292" s="20" t="str">
        <f>_xlfn.XLOOKUP(N292,players!A:A,players!D:D,"")</f>
        <v>Douglas Alexander</v>
      </c>
      <c r="P292" s="20" cm="1">
        <f t="array" ref="P292">_xlfn.XLOOKUP(I292&amp;N292,rosterSpots!B:B&amp;rosterSpots!D:D,rosterSpots!E:E,"")</f>
        <v>10</v>
      </c>
      <c r="Q292" s="20">
        <f xml:space="preserve"> (playerGameStats!$R292 * 2) + (playerGameStats!$S292 * 3) + (playerGameStats!$T292)</f>
        <v>4</v>
      </c>
      <c r="R292" s="20">
        <v>2</v>
      </c>
      <c r="S292" s="20">
        <v>0</v>
      </c>
      <c r="T292" s="20">
        <v>0</v>
      </c>
      <c r="U292" s="23">
        <v>0</v>
      </c>
    </row>
    <row r="293" spans="1:21" x14ac:dyDescent="0.25">
      <c r="A293" s="14" t="s">
        <v>332</v>
      </c>
      <c r="B293" s="15">
        <v>2026</v>
      </c>
      <c r="C293" s="15" t="s">
        <v>36</v>
      </c>
      <c r="D293" s="15">
        <v>4</v>
      </c>
      <c r="E293" s="16">
        <v>46141</v>
      </c>
      <c r="F293" s="17">
        <v>0.77083333333333337</v>
      </c>
      <c r="G293" s="15" t="s">
        <v>18</v>
      </c>
      <c r="H293" s="15" t="s">
        <v>310</v>
      </c>
      <c r="I293" s="15" t="s">
        <v>300</v>
      </c>
      <c r="J293" s="15" t="s">
        <v>16</v>
      </c>
      <c r="K293" s="15" t="s">
        <v>44</v>
      </c>
      <c r="L293" s="15" t="s">
        <v>11</v>
      </c>
      <c r="M293" s="15" t="s">
        <v>45</v>
      </c>
      <c r="N293" s="15" t="s">
        <v>273</v>
      </c>
      <c r="O293" s="15" t="str">
        <f>_xlfn.XLOOKUP(N293,players!A:A,players!D:D,"")</f>
        <v>Travis Gibbs</v>
      </c>
      <c r="P293" s="15" cm="1">
        <f t="array" ref="P293">_xlfn.XLOOKUP(I293&amp;N293,rosterSpots!B:B&amp;rosterSpots!D:D,rosterSpots!E:E,"")</f>
        <v>11</v>
      </c>
      <c r="Q293" s="15">
        <f xml:space="preserve"> (playerGameStats!$R293 * 2) + (playerGameStats!$S293 * 3) + (playerGameStats!$T293)</f>
        <v>3</v>
      </c>
      <c r="R293" s="15">
        <v>0</v>
      </c>
      <c r="S293" s="15">
        <v>1</v>
      </c>
      <c r="T293" s="15">
        <v>0</v>
      </c>
      <c r="U293" s="18">
        <v>0</v>
      </c>
    </row>
    <row r="294" spans="1:21" x14ac:dyDescent="0.25">
      <c r="A294" s="19" t="s">
        <v>332</v>
      </c>
      <c r="B294" s="20">
        <v>2026</v>
      </c>
      <c r="C294" s="20" t="s">
        <v>36</v>
      </c>
      <c r="D294" s="20">
        <v>4</v>
      </c>
      <c r="E294" s="21">
        <v>46141</v>
      </c>
      <c r="F294" s="22">
        <v>0.77083333333333337</v>
      </c>
      <c r="G294" s="20" t="s">
        <v>18</v>
      </c>
      <c r="H294" s="20" t="s">
        <v>310</v>
      </c>
      <c r="I294" s="20" t="s">
        <v>300</v>
      </c>
      <c r="J294" s="20" t="s">
        <v>16</v>
      </c>
      <c r="K294" s="20" t="s">
        <v>44</v>
      </c>
      <c r="L294" s="20" t="s">
        <v>11</v>
      </c>
      <c r="M294" s="20" t="s">
        <v>45</v>
      </c>
      <c r="N294" s="20" t="s">
        <v>282</v>
      </c>
      <c r="O294" s="20" t="str">
        <f>_xlfn.XLOOKUP(N294,players!A:A,players!D:D,"")</f>
        <v>Guillermo Jacquez</v>
      </c>
      <c r="P294" s="20" cm="1">
        <f t="array" ref="P294">_xlfn.XLOOKUP(I294&amp;N294,rosterSpots!B:B&amp;rosterSpots!D:D,rosterSpots!E:E,"")</f>
        <v>13</v>
      </c>
      <c r="Q294" s="20">
        <f xml:space="preserve"> (playerGameStats!$R294 * 2) + (playerGameStats!$S294 * 3) + (playerGameStats!$T294)</f>
        <v>7</v>
      </c>
      <c r="R294" s="20">
        <v>2</v>
      </c>
      <c r="S294" s="20">
        <v>1</v>
      </c>
      <c r="T294" s="20">
        <v>0</v>
      </c>
      <c r="U294" s="23">
        <v>0</v>
      </c>
    </row>
    <row r="295" spans="1:21" x14ac:dyDescent="0.25">
      <c r="A295" s="14" t="s">
        <v>332</v>
      </c>
      <c r="B295" s="15">
        <v>2026</v>
      </c>
      <c r="C295" s="15" t="s">
        <v>36</v>
      </c>
      <c r="D295" s="15">
        <v>4</v>
      </c>
      <c r="E295" s="16">
        <v>46141</v>
      </c>
      <c r="F295" s="17">
        <v>0.77083333333333337</v>
      </c>
      <c r="G295" s="15" t="s">
        <v>18</v>
      </c>
      <c r="H295" s="15" t="s">
        <v>310</v>
      </c>
      <c r="I295" s="15" t="s">
        <v>300</v>
      </c>
      <c r="J295" s="15" t="s">
        <v>16</v>
      </c>
      <c r="K295" s="15" t="s">
        <v>44</v>
      </c>
      <c r="L295" s="15" t="s">
        <v>11</v>
      </c>
      <c r="M295" s="15" t="s">
        <v>45</v>
      </c>
      <c r="N295" s="15" t="s">
        <v>279</v>
      </c>
      <c r="O295" s="15" t="str">
        <f>_xlfn.XLOOKUP(N295,players!A:A,players!D:D,"")</f>
        <v>Jose Toledo</v>
      </c>
      <c r="P295" s="15" cm="1">
        <f t="array" ref="P295">_xlfn.XLOOKUP(I295&amp;N295,rosterSpots!B:B&amp;rosterSpots!D:D,rosterSpots!E:E,"")</f>
        <v>25</v>
      </c>
      <c r="Q295" s="15">
        <f xml:space="preserve"> (playerGameStats!$R295 * 2) + (playerGameStats!$S295 * 3) + (playerGameStats!$T295)</f>
        <v>5</v>
      </c>
      <c r="R295" s="15">
        <v>1</v>
      </c>
      <c r="S295" s="15">
        <v>1</v>
      </c>
      <c r="T295" s="15">
        <v>0</v>
      </c>
      <c r="U295" s="18">
        <v>1</v>
      </c>
    </row>
    <row r="296" spans="1:21" x14ac:dyDescent="0.25">
      <c r="A296" s="19" t="s">
        <v>332</v>
      </c>
      <c r="B296" s="20">
        <v>2026</v>
      </c>
      <c r="C296" s="20" t="s">
        <v>36</v>
      </c>
      <c r="D296" s="20">
        <v>4</v>
      </c>
      <c r="E296" s="21">
        <v>46141</v>
      </c>
      <c r="F296" s="22">
        <v>0.77083333333333337</v>
      </c>
      <c r="G296" s="20" t="s">
        <v>18</v>
      </c>
      <c r="H296" s="20" t="s">
        <v>310</v>
      </c>
      <c r="I296" s="20" t="s">
        <v>300</v>
      </c>
      <c r="J296" s="20" t="s">
        <v>16</v>
      </c>
      <c r="K296" s="20" t="s">
        <v>44</v>
      </c>
      <c r="L296" s="20" t="s">
        <v>11</v>
      </c>
      <c r="M296" s="20" t="s">
        <v>45</v>
      </c>
      <c r="N296" s="20" t="s">
        <v>280</v>
      </c>
      <c r="O296" s="20" t="str">
        <f>_xlfn.XLOOKUP(N296,players!A:A,players!D:D,"")</f>
        <v>Russel Verceles</v>
      </c>
      <c r="P296" s="20" cm="1">
        <f t="array" ref="P296">_xlfn.XLOOKUP(I296&amp;N296,rosterSpots!B:B&amp;rosterSpots!D:D,rosterSpots!E:E,"")</f>
        <v>32</v>
      </c>
      <c r="Q296" s="20">
        <f xml:space="preserve"> (playerGameStats!$R296 * 2) + (playerGameStats!$S296 * 3) + (playerGameStats!$T296)</f>
        <v>2</v>
      </c>
      <c r="R296" s="20">
        <v>0</v>
      </c>
      <c r="S296" s="20">
        <v>0</v>
      </c>
      <c r="T296" s="20">
        <v>2</v>
      </c>
      <c r="U296" s="23">
        <v>2</v>
      </c>
    </row>
    <row r="297" spans="1:21" x14ac:dyDescent="0.25">
      <c r="A297" s="14" t="s">
        <v>331</v>
      </c>
      <c r="B297" s="15">
        <v>2026</v>
      </c>
      <c r="C297" s="15" t="s">
        <v>36</v>
      </c>
      <c r="D297" s="15">
        <v>4</v>
      </c>
      <c r="E297" s="16">
        <v>46141</v>
      </c>
      <c r="F297" s="17">
        <v>0.8125</v>
      </c>
      <c r="G297" s="15" t="s">
        <v>18</v>
      </c>
      <c r="H297" s="15" t="s">
        <v>310</v>
      </c>
      <c r="I297" s="15" t="s">
        <v>299</v>
      </c>
      <c r="J297" s="15" t="s">
        <v>14</v>
      </c>
      <c r="K297" s="15" t="s">
        <v>43</v>
      </c>
      <c r="L297" s="15" t="s">
        <v>15</v>
      </c>
      <c r="M297" s="15" t="s">
        <v>48</v>
      </c>
      <c r="N297" s="15" t="s">
        <v>268</v>
      </c>
      <c r="O297" s="15" t="str">
        <f>_xlfn.XLOOKUP(N297,players!A:A,players!D:D,"")</f>
        <v>Bassang Atoulelou</v>
      </c>
      <c r="P297" s="15" cm="1">
        <f t="array" ref="P297">_xlfn.XLOOKUP(I297&amp;N297,rosterSpots!B:B&amp;rosterSpots!D:D,rosterSpots!E:E,"")</f>
        <v>2</v>
      </c>
      <c r="Q297" s="15">
        <f xml:space="preserve"> (playerGameStats!$R297 * 2) + (playerGameStats!$S297 * 3) + (playerGameStats!$T297)</f>
        <v>0</v>
      </c>
      <c r="R297" s="15">
        <v>0</v>
      </c>
      <c r="S297" s="15">
        <v>0</v>
      </c>
      <c r="T297" s="15">
        <v>0</v>
      </c>
      <c r="U297" s="18">
        <v>0</v>
      </c>
    </row>
    <row r="298" spans="1:21" x14ac:dyDescent="0.25">
      <c r="A298" s="19" t="s">
        <v>331</v>
      </c>
      <c r="B298" s="20">
        <v>2026</v>
      </c>
      <c r="C298" s="20" t="s">
        <v>36</v>
      </c>
      <c r="D298" s="20">
        <v>4</v>
      </c>
      <c r="E298" s="21">
        <v>46141</v>
      </c>
      <c r="F298" s="22">
        <v>0.8125</v>
      </c>
      <c r="G298" s="20" t="s">
        <v>18</v>
      </c>
      <c r="H298" s="20" t="s">
        <v>310</v>
      </c>
      <c r="I298" s="20" t="s">
        <v>299</v>
      </c>
      <c r="J298" s="20" t="s">
        <v>14</v>
      </c>
      <c r="K298" s="20" t="s">
        <v>43</v>
      </c>
      <c r="L298" s="20" t="s">
        <v>15</v>
      </c>
      <c r="M298" s="20" t="s">
        <v>48</v>
      </c>
      <c r="N298" s="20" t="s">
        <v>272</v>
      </c>
      <c r="O298" s="20" t="str">
        <f>_xlfn.XLOOKUP(N298,players!A:A,players!D:D,"")</f>
        <v>Bryce Meredith</v>
      </c>
      <c r="P298" s="20" cm="1">
        <f t="array" ref="P298">_xlfn.XLOOKUP(I298&amp;N298,rosterSpots!B:B&amp;rosterSpots!D:D,rosterSpots!E:E,"")</f>
        <v>3</v>
      </c>
      <c r="Q298" s="20">
        <f xml:space="preserve"> (playerGameStats!$R298 * 2) + (playerGameStats!$S298 * 3) + (playerGameStats!$T298)</f>
        <v>2</v>
      </c>
      <c r="R298" s="20">
        <v>1</v>
      </c>
      <c r="S298" s="20">
        <v>0</v>
      </c>
      <c r="T298" s="20">
        <v>0</v>
      </c>
      <c r="U298" s="23">
        <v>0</v>
      </c>
    </row>
    <row r="299" spans="1:21" x14ac:dyDescent="0.25">
      <c r="A299" s="14" t="s">
        <v>331</v>
      </c>
      <c r="B299" s="15">
        <v>2026</v>
      </c>
      <c r="C299" s="15" t="s">
        <v>36</v>
      </c>
      <c r="D299" s="15">
        <v>4</v>
      </c>
      <c r="E299" s="16">
        <v>46141</v>
      </c>
      <c r="F299" s="17">
        <v>0.8125</v>
      </c>
      <c r="G299" s="15" t="s">
        <v>18</v>
      </c>
      <c r="H299" s="15" t="s">
        <v>310</v>
      </c>
      <c r="I299" s="15" t="s">
        <v>299</v>
      </c>
      <c r="J299" s="15" t="s">
        <v>14</v>
      </c>
      <c r="K299" s="15" t="s">
        <v>43</v>
      </c>
      <c r="L299" s="15" t="s">
        <v>15</v>
      </c>
      <c r="M299" s="15" t="s">
        <v>48</v>
      </c>
      <c r="N299" s="15" t="s">
        <v>267</v>
      </c>
      <c r="O299" s="15" t="str">
        <f>_xlfn.XLOOKUP(N299,players!A:A,players!D:D,"")</f>
        <v>Keshon Coleman</v>
      </c>
      <c r="P299" s="15" cm="1">
        <f t="array" ref="P299">_xlfn.XLOOKUP(I299&amp;N299,rosterSpots!B:B&amp;rosterSpots!D:D,rosterSpots!E:E,"")</f>
        <v>4</v>
      </c>
      <c r="Q299" s="15">
        <f xml:space="preserve"> (playerGameStats!$R299 * 2) + (playerGameStats!$S299 * 3) + (playerGameStats!$T299)</f>
        <v>10</v>
      </c>
      <c r="R299" s="15">
        <v>2</v>
      </c>
      <c r="S299" s="15">
        <v>2</v>
      </c>
      <c r="T299" s="15">
        <v>0</v>
      </c>
      <c r="U299" s="18">
        <v>0</v>
      </c>
    </row>
    <row r="300" spans="1:21" x14ac:dyDescent="0.25">
      <c r="A300" s="19" t="s">
        <v>331</v>
      </c>
      <c r="B300" s="20">
        <v>2026</v>
      </c>
      <c r="C300" s="20" t="s">
        <v>36</v>
      </c>
      <c r="D300" s="20">
        <v>4</v>
      </c>
      <c r="E300" s="21">
        <v>46141</v>
      </c>
      <c r="F300" s="22">
        <v>0.8125</v>
      </c>
      <c r="G300" s="20" t="s">
        <v>18</v>
      </c>
      <c r="H300" s="20" t="s">
        <v>310</v>
      </c>
      <c r="I300" s="20" t="s">
        <v>299</v>
      </c>
      <c r="J300" s="20" t="s">
        <v>14</v>
      </c>
      <c r="K300" s="20" t="s">
        <v>43</v>
      </c>
      <c r="L300" s="20" t="s">
        <v>15</v>
      </c>
      <c r="M300" s="20" t="s">
        <v>48</v>
      </c>
      <c r="N300" s="20" t="s">
        <v>265</v>
      </c>
      <c r="O300" s="20" t="str">
        <f>_xlfn.XLOOKUP(N300,players!A:A,players!D:D,"")</f>
        <v>Ben Golden</v>
      </c>
      <c r="P300" s="20" cm="1">
        <f t="array" ref="P300">_xlfn.XLOOKUP(I300&amp;N300,rosterSpots!B:B&amp;rosterSpots!D:D,rosterSpots!E:E,"")</f>
        <v>8</v>
      </c>
      <c r="Q300" s="20">
        <f xml:space="preserve"> (playerGameStats!$R300 * 2) + (playerGameStats!$S300 * 3) + (playerGameStats!$T300)</f>
        <v>26</v>
      </c>
      <c r="R300" s="20">
        <v>3</v>
      </c>
      <c r="S300" s="20">
        <v>5</v>
      </c>
      <c r="T300" s="20">
        <v>5</v>
      </c>
      <c r="U300" s="23">
        <v>6</v>
      </c>
    </row>
    <row r="301" spans="1:21" x14ac:dyDescent="0.25">
      <c r="A301" s="14" t="s">
        <v>331</v>
      </c>
      <c r="B301" s="15">
        <v>2026</v>
      </c>
      <c r="C301" s="15" t="s">
        <v>36</v>
      </c>
      <c r="D301" s="15">
        <v>4</v>
      </c>
      <c r="E301" s="16">
        <v>46141</v>
      </c>
      <c r="F301" s="17">
        <v>0.8125</v>
      </c>
      <c r="G301" s="15" t="s">
        <v>18</v>
      </c>
      <c r="H301" s="15" t="s">
        <v>310</v>
      </c>
      <c r="I301" s="15" t="s">
        <v>299</v>
      </c>
      <c r="J301" s="15" t="s">
        <v>14</v>
      </c>
      <c r="K301" s="15" t="s">
        <v>43</v>
      </c>
      <c r="L301" s="15" t="s">
        <v>15</v>
      </c>
      <c r="M301" s="15" t="s">
        <v>48</v>
      </c>
      <c r="N301" s="15" t="s">
        <v>262</v>
      </c>
      <c r="O301" s="15" t="str">
        <f>_xlfn.XLOOKUP(N301,players!A:A,players!D:D,"")</f>
        <v>Connor Thomas</v>
      </c>
      <c r="P301" s="15" cm="1">
        <f t="array" ref="P301">_xlfn.XLOOKUP(I301&amp;N301,rosterSpots!B:B&amp;rosterSpots!D:D,rosterSpots!E:E,"")</f>
        <v>9</v>
      </c>
      <c r="Q301" s="15">
        <f xml:space="preserve"> (playerGameStats!$R301 * 2) + (playerGameStats!$S301 * 3) + (playerGameStats!$T301)</f>
        <v>2</v>
      </c>
      <c r="R301" s="15">
        <v>1</v>
      </c>
      <c r="S301" s="15">
        <v>0</v>
      </c>
      <c r="T301" s="15">
        <v>0</v>
      </c>
      <c r="U301" s="18">
        <v>2</v>
      </c>
    </row>
    <row r="302" spans="1:21" x14ac:dyDescent="0.25">
      <c r="A302" s="19" t="s">
        <v>331</v>
      </c>
      <c r="B302" s="20">
        <v>2026</v>
      </c>
      <c r="C302" s="20" t="s">
        <v>36</v>
      </c>
      <c r="D302" s="20">
        <v>4</v>
      </c>
      <c r="E302" s="21">
        <v>46141</v>
      </c>
      <c r="F302" s="22">
        <v>0.8125</v>
      </c>
      <c r="G302" s="20" t="s">
        <v>18</v>
      </c>
      <c r="H302" s="20" t="s">
        <v>310</v>
      </c>
      <c r="I302" s="20" t="s">
        <v>299</v>
      </c>
      <c r="J302" s="20" t="s">
        <v>14</v>
      </c>
      <c r="K302" s="20" t="s">
        <v>43</v>
      </c>
      <c r="L302" s="20" t="s">
        <v>15</v>
      </c>
      <c r="M302" s="20" t="s">
        <v>48</v>
      </c>
      <c r="N302" s="20" t="s">
        <v>266</v>
      </c>
      <c r="O302" s="20" t="str">
        <f>_xlfn.XLOOKUP(N302,players!A:A,players!D:D,"")</f>
        <v>Ian McCaw</v>
      </c>
      <c r="P302" s="20" cm="1">
        <f t="array" ref="P302">_xlfn.XLOOKUP(I302&amp;N302,rosterSpots!B:B&amp;rosterSpots!D:D,rosterSpots!E:E,"")</f>
        <v>50</v>
      </c>
      <c r="Q302" s="20">
        <f xml:space="preserve"> (playerGameStats!$R302 * 2) + (playerGameStats!$S302 * 3) + (playerGameStats!$T302)</f>
        <v>13</v>
      </c>
      <c r="R302" s="20">
        <v>5</v>
      </c>
      <c r="S302" s="20">
        <v>1</v>
      </c>
      <c r="T302" s="20">
        <v>0</v>
      </c>
      <c r="U302" s="23">
        <v>0</v>
      </c>
    </row>
    <row r="303" spans="1:21" x14ac:dyDescent="0.25">
      <c r="A303" s="14" t="s">
        <v>331</v>
      </c>
      <c r="B303" s="15">
        <v>2026</v>
      </c>
      <c r="C303" s="15" t="s">
        <v>36</v>
      </c>
      <c r="D303" s="15">
        <v>4</v>
      </c>
      <c r="E303" s="16">
        <v>46141</v>
      </c>
      <c r="F303" s="17">
        <v>0.8125</v>
      </c>
      <c r="G303" s="15" t="s">
        <v>18</v>
      </c>
      <c r="H303" s="15" t="s">
        <v>310</v>
      </c>
      <c r="I303" s="15" t="s">
        <v>296</v>
      </c>
      <c r="J303" s="15" t="s">
        <v>15</v>
      </c>
      <c r="K303" s="15" t="s">
        <v>48</v>
      </c>
      <c r="L303" s="15" t="s">
        <v>14</v>
      </c>
      <c r="M303" s="15" t="s">
        <v>43</v>
      </c>
      <c r="N303" s="15" t="s">
        <v>238</v>
      </c>
      <c r="O303" s="15" t="str">
        <f>_xlfn.XLOOKUP(N303,players!A:A,players!D:D,"")</f>
        <v>Derin Sweeney</v>
      </c>
      <c r="P303" s="15" cm="1">
        <f t="array" ref="P303">_xlfn.XLOOKUP(I303&amp;N303,rosterSpots!B:B&amp;rosterSpots!D:D,rosterSpots!E:E,"")</f>
        <v>0</v>
      </c>
      <c r="Q303" s="15">
        <f xml:space="preserve"> (playerGameStats!$R303 * 2) + (playerGameStats!$S303 * 3) + (playerGameStats!$T303)</f>
        <v>18</v>
      </c>
      <c r="R303" s="15">
        <v>3</v>
      </c>
      <c r="S303" s="15">
        <v>4</v>
      </c>
      <c r="T303" s="15">
        <v>0</v>
      </c>
      <c r="U303" s="18">
        <v>0</v>
      </c>
    </row>
    <row r="304" spans="1:21" x14ac:dyDescent="0.25">
      <c r="A304" s="19" t="s">
        <v>331</v>
      </c>
      <c r="B304" s="20">
        <v>2026</v>
      </c>
      <c r="C304" s="20" t="s">
        <v>36</v>
      </c>
      <c r="D304" s="20">
        <v>4</v>
      </c>
      <c r="E304" s="21">
        <v>46141</v>
      </c>
      <c r="F304" s="22">
        <v>0.8125</v>
      </c>
      <c r="G304" s="20" t="s">
        <v>18</v>
      </c>
      <c r="H304" s="20" t="s">
        <v>310</v>
      </c>
      <c r="I304" s="20" t="s">
        <v>296</v>
      </c>
      <c r="J304" s="20" t="s">
        <v>15</v>
      </c>
      <c r="K304" s="20" t="s">
        <v>48</v>
      </c>
      <c r="L304" s="20" t="s">
        <v>14</v>
      </c>
      <c r="M304" s="20" t="s">
        <v>43</v>
      </c>
      <c r="N304" s="20" t="s">
        <v>240</v>
      </c>
      <c r="O304" s="20" t="str">
        <f>_xlfn.XLOOKUP(N304,players!A:A,players!D:D,"")</f>
        <v>Kevin Tierney</v>
      </c>
      <c r="P304" s="20" cm="1">
        <f t="array" ref="P304">_xlfn.XLOOKUP(I304&amp;N304,rosterSpots!B:B&amp;rosterSpots!D:D,rosterSpots!E:E,"")</f>
        <v>1</v>
      </c>
      <c r="Q304" s="20">
        <f xml:space="preserve"> (playerGameStats!$R304 * 2) + (playerGameStats!$S304 * 3) + (playerGameStats!$T304)</f>
        <v>4</v>
      </c>
      <c r="R304" s="20">
        <v>1</v>
      </c>
      <c r="S304" s="20">
        <v>0</v>
      </c>
      <c r="T304" s="20">
        <v>2</v>
      </c>
      <c r="U304" s="23">
        <v>3</v>
      </c>
    </row>
    <row r="305" spans="1:21" x14ac:dyDescent="0.25">
      <c r="A305" s="14" t="s">
        <v>331</v>
      </c>
      <c r="B305" s="15">
        <v>2026</v>
      </c>
      <c r="C305" s="15" t="s">
        <v>36</v>
      </c>
      <c r="D305" s="15">
        <v>4</v>
      </c>
      <c r="E305" s="16">
        <v>46141</v>
      </c>
      <c r="F305" s="17">
        <v>0.8125</v>
      </c>
      <c r="G305" s="15" t="s">
        <v>18</v>
      </c>
      <c r="H305" s="15" t="s">
        <v>310</v>
      </c>
      <c r="I305" s="15" t="s">
        <v>296</v>
      </c>
      <c r="J305" s="15" t="s">
        <v>15</v>
      </c>
      <c r="K305" s="15" t="s">
        <v>48</v>
      </c>
      <c r="L305" s="15" t="s">
        <v>14</v>
      </c>
      <c r="M305" s="15" t="s">
        <v>43</v>
      </c>
      <c r="N305" s="15" t="s">
        <v>243</v>
      </c>
      <c r="O305" s="15" t="str">
        <f>_xlfn.XLOOKUP(N305,players!A:A,players!D:D,"")</f>
        <v>Donald Owens</v>
      </c>
      <c r="P305" s="15" cm="1">
        <f t="array" ref="P305">_xlfn.XLOOKUP(I305&amp;N305,rosterSpots!B:B&amp;rosterSpots!D:D,rosterSpots!E:E,"")</f>
        <v>11</v>
      </c>
      <c r="Q305" s="15">
        <f xml:space="preserve"> (playerGameStats!$R305 * 2) + (playerGameStats!$S305 * 3) + (playerGameStats!$T305)</f>
        <v>0</v>
      </c>
      <c r="R305" s="15">
        <v>0</v>
      </c>
      <c r="S305" s="15">
        <v>0</v>
      </c>
      <c r="T305" s="15">
        <v>0</v>
      </c>
      <c r="U305" s="18">
        <v>0</v>
      </c>
    </row>
    <row r="306" spans="1:21" x14ac:dyDescent="0.25">
      <c r="A306" s="19" t="s">
        <v>331</v>
      </c>
      <c r="B306" s="20">
        <v>2026</v>
      </c>
      <c r="C306" s="20" t="s">
        <v>36</v>
      </c>
      <c r="D306" s="20">
        <v>4</v>
      </c>
      <c r="E306" s="21">
        <v>46141</v>
      </c>
      <c r="F306" s="22">
        <v>0.8125</v>
      </c>
      <c r="G306" s="20" t="s">
        <v>18</v>
      </c>
      <c r="H306" s="20" t="s">
        <v>310</v>
      </c>
      <c r="I306" s="20" t="s">
        <v>296</v>
      </c>
      <c r="J306" s="20" t="s">
        <v>15</v>
      </c>
      <c r="K306" s="20" t="s">
        <v>48</v>
      </c>
      <c r="L306" s="20" t="s">
        <v>14</v>
      </c>
      <c r="M306" s="20" t="s">
        <v>43</v>
      </c>
      <c r="N306" s="20" t="s">
        <v>237</v>
      </c>
      <c r="O306" s="20" t="str">
        <f>_xlfn.XLOOKUP(N306,players!A:A,players!D:D,"")</f>
        <v>Zach Rollman</v>
      </c>
      <c r="P306" s="20" cm="1">
        <f t="array" ref="P306">_xlfn.XLOOKUP(I306&amp;N306,rosterSpots!B:B&amp;rosterSpots!D:D,rosterSpots!E:E,"")</f>
        <v>13</v>
      </c>
      <c r="Q306" s="20">
        <f xml:space="preserve"> (playerGameStats!$R306 * 2) + (playerGameStats!$S306 * 3) + (playerGameStats!$T306)</f>
        <v>16</v>
      </c>
      <c r="R306" s="20">
        <v>4</v>
      </c>
      <c r="S306" s="20">
        <v>2</v>
      </c>
      <c r="T306" s="20">
        <v>2</v>
      </c>
      <c r="U306" s="23">
        <v>4</v>
      </c>
    </row>
    <row r="307" spans="1:21" x14ac:dyDescent="0.25">
      <c r="A307" s="14" t="s">
        <v>331</v>
      </c>
      <c r="B307" s="15">
        <v>2026</v>
      </c>
      <c r="C307" s="15" t="s">
        <v>36</v>
      </c>
      <c r="D307" s="15">
        <v>4</v>
      </c>
      <c r="E307" s="16">
        <v>46141</v>
      </c>
      <c r="F307" s="17">
        <v>0.8125</v>
      </c>
      <c r="G307" s="15" t="s">
        <v>18</v>
      </c>
      <c r="H307" s="15" t="s">
        <v>310</v>
      </c>
      <c r="I307" s="15" t="s">
        <v>296</v>
      </c>
      <c r="J307" s="15" t="s">
        <v>15</v>
      </c>
      <c r="K307" s="15" t="s">
        <v>48</v>
      </c>
      <c r="L307" s="15" t="s">
        <v>14</v>
      </c>
      <c r="M307" s="15" t="s">
        <v>43</v>
      </c>
      <c r="N307" s="15" t="s">
        <v>236</v>
      </c>
      <c r="O307" s="15" t="str">
        <f>_xlfn.XLOOKUP(N307,players!A:A,players!D:D,"")</f>
        <v>Jeff Savage</v>
      </c>
      <c r="P307" s="15" cm="1">
        <f t="array" ref="P307">_xlfn.XLOOKUP(I307&amp;N307,rosterSpots!B:B&amp;rosterSpots!D:D,rosterSpots!E:E,"")</f>
        <v>14</v>
      </c>
      <c r="Q307" s="15">
        <f xml:space="preserve"> (playerGameStats!$R307 * 2) + (playerGameStats!$S307 * 3) + (playerGameStats!$T307)</f>
        <v>4</v>
      </c>
      <c r="R307" s="15">
        <v>1</v>
      </c>
      <c r="S307" s="15">
        <v>0</v>
      </c>
      <c r="T307" s="15">
        <v>2</v>
      </c>
      <c r="U307" s="18">
        <v>2</v>
      </c>
    </row>
    <row r="308" spans="1:21" x14ac:dyDescent="0.25">
      <c r="A308" s="19" t="s">
        <v>331</v>
      </c>
      <c r="B308" s="20">
        <v>2026</v>
      </c>
      <c r="C308" s="20" t="s">
        <v>36</v>
      </c>
      <c r="D308" s="20">
        <v>4</v>
      </c>
      <c r="E308" s="21">
        <v>46141</v>
      </c>
      <c r="F308" s="22">
        <v>0.8125</v>
      </c>
      <c r="G308" s="20" t="s">
        <v>18</v>
      </c>
      <c r="H308" s="20" t="s">
        <v>310</v>
      </c>
      <c r="I308" s="20" t="s">
        <v>296</v>
      </c>
      <c r="J308" s="20" t="s">
        <v>15</v>
      </c>
      <c r="K308" s="20" t="s">
        <v>48</v>
      </c>
      <c r="L308" s="20" t="s">
        <v>14</v>
      </c>
      <c r="M308" s="20" t="s">
        <v>43</v>
      </c>
      <c r="N308" s="20" t="s">
        <v>241</v>
      </c>
      <c r="O308" s="20" t="str">
        <f>_xlfn.XLOOKUP(N308,players!A:A,players!D:D,"")</f>
        <v>Brian Clemens</v>
      </c>
      <c r="P308" s="20" cm="1">
        <f t="array" ref="P308">_xlfn.XLOOKUP(I308&amp;N308,rosterSpots!B:B&amp;rosterSpots!D:D,rosterSpots!E:E,"")</f>
        <v>17</v>
      </c>
      <c r="Q308" s="20">
        <f xml:space="preserve"> (playerGameStats!$R308 * 2) + (playerGameStats!$S308 * 3) + (playerGameStats!$T308)</f>
        <v>0</v>
      </c>
      <c r="R308" s="20">
        <v>0</v>
      </c>
      <c r="S308" s="20">
        <v>0</v>
      </c>
      <c r="T308" s="20">
        <v>0</v>
      </c>
      <c r="U308" s="23">
        <v>0</v>
      </c>
    </row>
    <row r="309" spans="1:21" x14ac:dyDescent="0.25">
      <c r="A309" s="14" t="s">
        <v>331</v>
      </c>
      <c r="B309" s="15">
        <v>2026</v>
      </c>
      <c r="C309" s="15" t="s">
        <v>36</v>
      </c>
      <c r="D309" s="15">
        <v>4</v>
      </c>
      <c r="E309" s="16">
        <v>46141</v>
      </c>
      <c r="F309" s="17">
        <v>0.8125</v>
      </c>
      <c r="G309" s="15" t="s">
        <v>18</v>
      </c>
      <c r="H309" s="15" t="s">
        <v>310</v>
      </c>
      <c r="I309" s="15" t="s">
        <v>296</v>
      </c>
      <c r="J309" s="15" t="s">
        <v>15</v>
      </c>
      <c r="K309" s="15" t="s">
        <v>48</v>
      </c>
      <c r="L309" s="15" t="s">
        <v>14</v>
      </c>
      <c r="M309" s="15" t="s">
        <v>43</v>
      </c>
      <c r="N309" s="15" t="s">
        <v>242</v>
      </c>
      <c r="O309" s="15" t="str">
        <f>_xlfn.XLOOKUP(N309,players!A:A,players!D:D,"")</f>
        <v>Jordan Wilcox</v>
      </c>
      <c r="P309" s="15" cm="1">
        <f t="array" ref="P309">_xlfn.XLOOKUP(I309&amp;N309,rosterSpots!B:B&amp;rosterSpots!D:D,rosterSpots!E:E,"")</f>
        <v>24</v>
      </c>
      <c r="Q309" s="15">
        <f xml:space="preserve"> (playerGameStats!$R309 * 2) + (playerGameStats!$S309 * 3) + (playerGameStats!$T309)</f>
        <v>20</v>
      </c>
      <c r="R309" s="15">
        <v>9</v>
      </c>
      <c r="S309" s="15">
        <v>0</v>
      </c>
      <c r="T309" s="15">
        <v>2</v>
      </c>
      <c r="U309" s="18">
        <v>5</v>
      </c>
    </row>
    <row r="310" spans="1:21" x14ac:dyDescent="0.25">
      <c r="A310" s="19" t="s">
        <v>330</v>
      </c>
      <c r="B310" s="20">
        <v>2026</v>
      </c>
      <c r="C310" s="20" t="s">
        <v>36</v>
      </c>
      <c r="D310" s="20">
        <v>5</v>
      </c>
      <c r="E310" s="21">
        <v>46146</v>
      </c>
      <c r="F310" s="22">
        <v>0.8125</v>
      </c>
      <c r="G310" s="20" t="s">
        <v>18</v>
      </c>
      <c r="H310" s="20" t="s">
        <v>310</v>
      </c>
      <c r="I310" s="20" t="s">
        <v>301</v>
      </c>
      <c r="J310" s="20" t="s">
        <v>17</v>
      </c>
      <c r="K310" s="20" t="s">
        <v>49</v>
      </c>
      <c r="L310" s="20" t="s">
        <v>10</v>
      </c>
      <c r="M310" s="20" t="s">
        <v>42</v>
      </c>
      <c r="N310" s="20" t="s">
        <v>285</v>
      </c>
      <c r="O310" s="20" t="str">
        <f>_xlfn.XLOOKUP(N310,players!A:A,players!D:D,"")</f>
        <v>Raeid Choudhury</v>
      </c>
      <c r="P310" s="20" cm="1">
        <f t="array" ref="P310">_xlfn.XLOOKUP(I310&amp;N310,rosterSpots!B:B&amp;rosterSpots!D:D,rosterSpots!E:E,"")</f>
        <v>1</v>
      </c>
      <c r="Q310" s="20">
        <f xml:space="preserve"> (playerGameStats!$R310 * 2) + (playerGameStats!$S310 * 3) + (playerGameStats!$T310)</f>
        <v>10</v>
      </c>
      <c r="R310" s="20">
        <v>2</v>
      </c>
      <c r="S310" s="20">
        <v>2</v>
      </c>
      <c r="T310" s="20">
        <v>0</v>
      </c>
      <c r="U310" s="23">
        <v>0</v>
      </c>
    </row>
    <row r="311" spans="1:21" x14ac:dyDescent="0.25">
      <c r="A311" s="14" t="s">
        <v>330</v>
      </c>
      <c r="B311" s="15">
        <v>2026</v>
      </c>
      <c r="C311" s="15" t="s">
        <v>36</v>
      </c>
      <c r="D311" s="15">
        <v>5</v>
      </c>
      <c r="E311" s="16">
        <v>46146</v>
      </c>
      <c r="F311" s="17">
        <v>0.8125</v>
      </c>
      <c r="G311" s="15" t="s">
        <v>18</v>
      </c>
      <c r="H311" s="15" t="s">
        <v>310</v>
      </c>
      <c r="I311" s="15" t="s">
        <v>301</v>
      </c>
      <c r="J311" s="15" t="s">
        <v>17</v>
      </c>
      <c r="K311" s="15" t="s">
        <v>49</v>
      </c>
      <c r="L311" s="15" t="s">
        <v>10</v>
      </c>
      <c r="M311" s="15" t="s">
        <v>42</v>
      </c>
      <c r="N311" s="15" t="s">
        <v>288</v>
      </c>
      <c r="O311" s="15" t="str">
        <f>_xlfn.XLOOKUP(N311,players!A:A,players!D:D,"")</f>
        <v>Vanardo Banks</v>
      </c>
      <c r="P311" s="15" cm="1">
        <f t="array" ref="P311">_xlfn.XLOOKUP(I311&amp;N311,rosterSpots!B:B&amp;rosterSpots!D:D,rosterSpots!E:E,"")</f>
        <v>10</v>
      </c>
      <c r="Q311" s="15">
        <f xml:space="preserve"> (playerGameStats!$R311 * 2) + (playerGameStats!$S311 * 3) + (playerGameStats!$T311)</f>
        <v>6</v>
      </c>
      <c r="R311" s="15">
        <v>0</v>
      </c>
      <c r="S311" s="15">
        <v>2</v>
      </c>
      <c r="T311" s="15">
        <v>0</v>
      </c>
      <c r="U311" s="18">
        <v>0</v>
      </c>
    </row>
    <row r="312" spans="1:21" x14ac:dyDescent="0.25">
      <c r="A312" s="19" t="s">
        <v>330</v>
      </c>
      <c r="B312" s="20">
        <v>2026</v>
      </c>
      <c r="C312" s="20" t="s">
        <v>36</v>
      </c>
      <c r="D312" s="20">
        <v>5</v>
      </c>
      <c r="E312" s="21">
        <v>46146</v>
      </c>
      <c r="F312" s="22">
        <v>0.8125</v>
      </c>
      <c r="G312" s="20" t="s">
        <v>18</v>
      </c>
      <c r="H312" s="20" t="s">
        <v>310</v>
      </c>
      <c r="I312" s="20" t="s">
        <v>301</v>
      </c>
      <c r="J312" s="20" t="s">
        <v>17</v>
      </c>
      <c r="K312" s="20" t="s">
        <v>49</v>
      </c>
      <c r="L312" s="20" t="s">
        <v>10</v>
      </c>
      <c r="M312" s="20" t="s">
        <v>42</v>
      </c>
      <c r="N312" s="20" t="s">
        <v>292</v>
      </c>
      <c r="O312" s="20" t="str">
        <f>_xlfn.XLOOKUP(N312,players!A:A,players!D:D,"")</f>
        <v>Junior Peralta</v>
      </c>
      <c r="P312" s="20" cm="1">
        <f t="array" ref="P312">_xlfn.XLOOKUP(I312&amp;N312,rosterSpots!B:B&amp;rosterSpots!D:D,rosterSpots!E:E,"")</f>
        <v>12</v>
      </c>
      <c r="Q312" s="20">
        <f xml:space="preserve"> (playerGameStats!$R312 * 2) + (playerGameStats!$S312 * 3) + (playerGameStats!$T312)</f>
        <v>3</v>
      </c>
      <c r="R312" s="20">
        <v>0</v>
      </c>
      <c r="S312" s="20">
        <v>1</v>
      </c>
      <c r="T312" s="20">
        <v>0</v>
      </c>
      <c r="U312" s="23">
        <v>2</v>
      </c>
    </row>
    <row r="313" spans="1:21" x14ac:dyDescent="0.25">
      <c r="A313" s="14" t="s">
        <v>330</v>
      </c>
      <c r="B313" s="15">
        <v>2026</v>
      </c>
      <c r="C313" s="15" t="s">
        <v>36</v>
      </c>
      <c r="D313" s="15">
        <v>5</v>
      </c>
      <c r="E313" s="16">
        <v>46146</v>
      </c>
      <c r="F313" s="17">
        <v>0.8125</v>
      </c>
      <c r="G313" s="15" t="s">
        <v>18</v>
      </c>
      <c r="H313" s="15" t="s">
        <v>310</v>
      </c>
      <c r="I313" s="15" t="s">
        <v>301</v>
      </c>
      <c r="J313" s="15" t="s">
        <v>17</v>
      </c>
      <c r="K313" s="15" t="s">
        <v>49</v>
      </c>
      <c r="L313" s="15" t="s">
        <v>10</v>
      </c>
      <c r="M313" s="15" t="s">
        <v>42</v>
      </c>
      <c r="N313" s="15" t="s">
        <v>291</v>
      </c>
      <c r="O313" s="15" t="str">
        <f>_xlfn.XLOOKUP(N313,players!A:A,players!D:D,"")</f>
        <v>Nkenna Opara</v>
      </c>
      <c r="P313" s="15" cm="1">
        <f t="array" ref="P313">_xlfn.XLOOKUP(I313&amp;N313,rosterSpots!B:B&amp;rosterSpots!D:D,rosterSpots!E:E,"")</f>
        <v>23</v>
      </c>
      <c r="Q313" s="15">
        <f xml:space="preserve"> (playerGameStats!$R313 * 2) + (playerGameStats!$S313 * 3) + (playerGameStats!$T313)</f>
        <v>13</v>
      </c>
      <c r="R313" s="15">
        <v>5</v>
      </c>
      <c r="S313" s="15">
        <v>1</v>
      </c>
      <c r="T313" s="15">
        <v>0</v>
      </c>
      <c r="U313" s="18">
        <v>2</v>
      </c>
    </row>
    <row r="314" spans="1:21" x14ac:dyDescent="0.25">
      <c r="A314" s="19" t="s">
        <v>330</v>
      </c>
      <c r="B314" s="20">
        <v>2026</v>
      </c>
      <c r="C314" s="20" t="s">
        <v>36</v>
      </c>
      <c r="D314" s="20">
        <v>5</v>
      </c>
      <c r="E314" s="21">
        <v>46146</v>
      </c>
      <c r="F314" s="22">
        <v>0.8125</v>
      </c>
      <c r="G314" s="20" t="s">
        <v>18</v>
      </c>
      <c r="H314" s="20" t="s">
        <v>310</v>
      </c>
      <c r="I314" s="20" t="s">
        <v>301</v>
      </c>
      <c r="J314" s="20" t="s">
        <v>17</v>
      </c>
      <c r="K314" s="20" t="s">
        <v>49</v>
      </c>
      <c r="L314" s="20" t="s">
        <v>10</v>
      </c>
      <c r="M314" s="20" t="s">
        <v>42</v>
      </c>
      <c r="N314" s="20" t="s">
        <v>293</v>
      </c>
      <c r="O314" s="20" t="str">
        <f>_xlfn.XLOOKUP(N314,players!A:A,players!D:D,"")</f>
        <v>Jossell De Coteau</v>
      </c>
      <c r="P314" s="20" cm="1">
        <f t="array" ref="P314">_xlfn.XLOOKUP(I314&amp;N314,rosterSpots!B:B&amp;rosterSpots!D:D,rosterSpots!E:E,"")</f>
        <v>28</v>
      </c>
      <c r="Q314" s="20">
        <f xml:space="preserve"> (playerGameStats!$R314 * 2) + (playerGameStats!$S314 * 3) + (playerGameStats!$T314)</f>
        <v>4</v>
      </c>
      <c r="R314" s="20">
        <v>2</v>
      </c>
      <c r="S314" s="20">
        <v>0</v>
      </c>
      <c r="T314" s="20">
        <v>0</v>
      </c>
      <c r="U314" s="23">
        <v>0</v>
      </c>
    </row>
    <row r="315" spans="1:21" x14ac:dyDescent="0.25">
      <c r="A315" s="14" t="s">
        <v>330</v>
      </c>
      <c r="B315" s="15">
        <v>2026</v>
      </c>
      <c r="C315" s="15" t="s">
        <v>36</v>
      </c>
      <c r="D315" s="15">
        <v>5</v>
      </c>
      <c r="E315" s="16">
        <v>46146</v>
      </c>
      <c r="F315" s="17">
        <v>0.8125</v>
      </c>
      <c r="G315" s="15" t="s">
        <v>18</v>
      </c>
      <c r="H315" s="15" t="s">
        <v>310</v>
      </c>
      <c r="I315" s="15" t="s">
        <v>294</v>
      </c>
      <c r="J315" s="15" t="s">
        <v>10</v>
      </c>
      <c r="K315" s="15" t="s">
        <v>42</v>
      </c>
      <c r="L315" s="15" t="s">
        <v>17</v>
      </c>
      <c r="M315" s="15" t="s">
        <v>49</v>
      </c>
      <c r="N315" s="15" t="s">
        <v>216</v>
      </c>
      <c r="O315" s="15" t="str">
        <f>_xlfn.XLOOKUP(N315,players!A:A,players!D:D,"")</f>
        <v>Ryan Ricciardelli</v>
      </c>
      <c r="P315" s="15" cm="1">
        <f t="array" ref="P315">_xlfn.XLOOKUP(I315&amp;N315,rosterSpots!B:B&amp;rosterSpots!D:D,rosterSpots!E:E,"")</f>
        <v>2</v>
      </c>
      <c r="Q315" s="15">
        <f xml:space="preserve"> (playerGameStats!$R315 * 2) + (playerGameStats!$S315 * 3) + (playerGameStats!$T315)</f>
        <v>20</v>
      </c>
      <c r="R315" s="15">
        <v>1</v>
      </c>
      <c r="S315" s="15">
        <v>6</v>
      </c>
      <c r="T315" s="15">
        <v>0</v>
      </c>
      <c r="U315" s="18">
        <v>1</v>
      </c>
    </row>
    <row r="316" spans="1:21" x14ac:dyDescent="0.25">
      <c r="A316" s="19" t="s">
        <v>330</v>
      </c>
      <c r="B316" s="20">
        <v>2026</v>
      </c>
      <c r="C316" s="20" t="s">
        <v>36</v>
      </c>
      <c r="D316" s="20">
        <v>5</v>
      </c>
      <c r="E316" s="21">
        <v>46146</v>
      </c>
      <c r="F316" s="22">
        <v>0.8125</v>
      </c>
      <c r="G316" s="20" t="s">
        <v>18</v>
      </c>
      <c r="H316" s="20" t="s">
        <v>310</v>
      </c>
      <c r="I316" s="20" t="s">
        <v>294</v>
      </c>
      <c r="J316" s="20" t="s">
        <v>10</v>
      </c>
      <c r="K316" s="20" t="s">
        <v>42</v>
      </c>
      <c r="L316" s="20" t="s">
        <v>17</v>
      </c>
      <c r="M316" s="20" t="s">
        <v>49</v>
      </c>
      <c r="N316" s="20" t="s">
        <v>221</v>
      </c>
      <c r="O316" s="20" t="str">
        <f>_xlfn.XLOOKUP(N316,players!A:A,players!D:D,"")</f>
        <v>Dom Sepko</v>
      </c>
      <c r="P316" s="20" cm="1">
        <f t="array" ref="P316">_xlfn.XLOOKUP(I316&amp;N316,rosterSpots!B:B&amp;rosterSpots!D:D,rosterSpots!E:E,"")</f>
        <v>3</v>
      </c>
      <c r="Q316" s="20">
        <f xml:space="preserve"> (playerGameStats!$R316 * 2) + (playerGameStats!$S316 * 3) + (playerGameStats!$T316)</f>
        <v>11</v>
      </c>
      <c r="R316" s="20">
        <v>4</v>
      </c>
      <c r="S316" s="20">
        <v>1</v>
      </c>
      <c r="T316" s="20">
        <v>0</v>
      </c>
      <c r="U316" s="23">
        <v>0</v>
      </c>
    </row>
    <row r="317" spans="1:21" x14ac:dyDescent="0.25">
      <c r="A317" s="14" t="s">
        <v>330</v>
      </c>
      <c r="B317" s="15">
        <v>2026</v>
      </c>
      <c r="C317" s="15" t="s">
        <v>36</v>
      </c>
      <c r="D317" s="15">
        <v>5</v>
      </c>
      <c r="E317" s="16">
        <v>46146</v>
      </c>
      <c r="F317" s="17">
        <v>0.8125</v>
      </c>
      <c r="G317" s="15" t="s">
        <v>18</v>
      </c>
      <c r="H317" s="15" t="s">
        <v>310</v>
      </c>
      <c r="I317" s="15" t="s">
        <v>294</v>
      </c>
      <c r="J317" s="15" t="s">
        <v>10</v>
      </c>
      <c r="K317" s="15" t="s">
        <v>42</v>
      </c>
      <c r="L317" s="15" t="s">
        <v>17</v>
      </c>
      <c r="M317" s="15" t="s">
        <v>49</v>
      </c>
      <c r="N317" s="15" t="s">
        <v>218</v>
      </c>
      <c r="O317" s="15" t="str">
        <f>_xlfn.XLOOKUP(N317,players!A:A,players!D:D,"")</f>
        <v>Guy Johnson</v>
      </c>
      <c r="P317" s="15" cm="1">
        <f t="array" ref="P317">_xlfn.XLOOKUP(I317&amp;N317,rosterSpots!B:B&amp;rosterSpots!D:D,rosterSpots!E:E,"")</f>
        <v>9</v>
      </c>
      <c r="Q317" s="15">
        <f xml:space="preserve"> (playerGameStats!$R317 * 2) + (playerGameStats!$S317 * 3) + (playerGameStats!$T317)</f>
        <v>24</v>
      </c>
      <c r="R317" s="15">
        <v>0</v>
      </c>
      <c r="S317" s="15">
        <v>8</v>
      </c>
      <c r="T317" s="15">
        <v>0</v>
      </c>
      <c r="U317" s="18">
        <v>0</v>
      </c>
    </row>
    <row r="318" spans="1:21" x14ac:dyDescent="0.25">
      <c r="A318" s="19" t="s">
        <v>330</v>
      </c>
      <c r="B318" s="20">
        <v>2026</v>
      </c>
      <c r="C318" s="20" t="s">
        <v>36</v>
      </c>
      <c r="D318" s="20">
        <v>5</v>
      </c>
      <c r="E318" s="21">
        <v>46146</v>
      </c>
      <c r="F318" s="22">
        <v>0.8125</v>
      </c>
      <c r="G318" s="20" t="s">
        <v>18</v>
      </c>
      <c r="H318" s="20" t="s">
        <v>310</v>
      </c>
      <c r="I318" s="20" t="s">
        <v>294</v>
      </c>
      <c r="J318" s="20" t="s">
        <v>10</v>
      </c>
      <c r="K318" s="20" t="s">
        <v>42</v>
      </c>
      <c r="L318" s="20" t="s">
        <v>17</v>
      </c>
      <c r="M318" s="20" t="s">
        <v>49</v>
      </c>
      <c r="N318" s="20" t="s">
        <v>223</v>
      </c>
      <c r="O318" s="20" t="str">
        <f>_xlfn.XLOOKUP(N318,players!A:A,players!D:D,"")</f>
        <v>Clayton Kunzweiler</v>
      </c>
      <c r="P318" s="20" cm="1">
        <f t="array" ref="P318">_xlfn.XLOOKUP(I318&amp;N318,rosterSpots!B:B&amp;rosterSpots!D:D,rosterSpots!E:E,"")</f>
        <v>13</v>
      </c>
      <c r="Q318" s="20">
        <f xml:space="preserve"> (playerGameStats!$R318 * 2) + (playerGameStats!$S318 * 3) + (playerGameStats!$T318)</f>
        <v>19</v>
      </c>
      <c r="R318" s="20">
        <v>2</v>
      </c>
      <c r="S318" s="20">
        <v>5</v>
      </c>
      <c r="T318" s="20">
        <v>0</v>
      </c>
      <c r="U318" s="23">
        <v>0</v>
      </c>
    </row>
    <row r="319" spans="1:21" x14ac:dyDescent="0.25">
      <c r="A319" s="14" t="s">
        <v>330</v>
      </c>
      <c r="B319" s="15">
        <v>2026</v>
      </c>
      <c r="C319" s="15" t="s">
        <v>36</v>
      </c>
      <c r="D319" s="15">
        <v>5</v>
      </c>
      <c r="E319" s="16">
        <v>46146</v>
      </c>
      <c r="F319" s="17">
        <v>0.8125</v>
      </c>
      <c r="G319" s="15" t="s">
        <v>18</v>
      </c>
      <c r="H319" s="15" t="s">
        <v>310</v>
      </c>
      <c r="I319" s="15" t="s">
        <v>294</v>
      </c>
      <c r="J319" s="15" t="s">
        <v>10</v>
      </c>
      <c r="K319" s="15" t="s">
        <v>42</v>
      </c>
      <c r="L319" s="15" t="s">
        <v>17</v>
      </c>
      <c r="M319" s="15" t="s">
        <v>49</v>
      </c>
      <c r="N319" s="15" t="s">
        <v>224</v>
      </c>
      <c r="O319" s="15" t="str">
        <f>_xlfn.XLOOKUP(N319,players!A:A,players!D:D,"")</f>
        <v>MJ Pierre</v>
      </c>
      <c r="P319" s="15" cm="1">
        <f t="array" ref="P319">_xlfn.XLOOKUP(I319&amp;N319,rosterSpots!B:B&amp;rosterSpots!D:D,rosterSpots!E:E,"")</f>
        <v>24</v>
      </c>
      <c r="Q319" s="15">
        <f xml:space="preserve"> (playerGameStats!$R319 * 2) + (playerGameStats!$S319 * 3) + (playerGameStats!$T319)</f>
        <v>4</v>
      </c>
      <c r="R319" s="15">
        <v>2</v>
      </c>
      <c r="S319" s="15">
        <v>0</v>
      </c>
      <c r="T319" s="15">
        <v>0</v>
      </c>
      <c r="U319" s="18">
        <v>0</v>
      </c>
    </row>
    <row r="320" spans="1:21" x14ac:dyDescent="0.25">
      <c r="A320" s="19" t="s">
        <v>330</v>
      </c>
      <c r="B320" s="20">
        <v>2026</v>
      </c>
      <c r="C320" s="20" t="s">
        <v>36</v>
      </c>
      <c r="D320" s="20">
        <v>5</v>
      </c>
      <c r="E320" s="21">
        <v>46146</v>
      </c>
      <c r="F320" s="22">
        <v>0.8125</v>
      </c>
      <c r="G320" s="20" t="s">
        <v>18</v>
      </c>
      <c r="H320" s="20" t="s">
        <v>310</v>
      </c>
      <c r="I320" s="20" t="s">
        <v>294</v>
      </c>
      <c r="J320" s="20" t="s">
        <v>10</v>
      </c>
      <c r="K320" s="20" t="s">
        <v>42</v>
      </c>
      <c r="L320" s="20" t="s">
        <v>17</v>
      </c>
      <c r="M320" s="20" t="s">
        <v>49</v>
      </c>
      <c r="N320" s="20" t="s">
        <v>217</v>
      </c>
      <c r="O320" s="20" t="str">
        <f>_xlfn.XLOOKUP(N320,players!A:A,players!D:D,"")</f>
        <v>Sean Denson</v>
      </c>
      <c r="P320" s="20" cm="1">
        <f t="array" ref="P320">_xlfn.XLOOKUP(I320&amp;N320,rosterSpots!B:B&amp;rosterSpots!D:D,rosterSpots!E:E,"")</f>
        <v>33</v>
      </c>
      <c r="Q320" s="20">
        <f xml:space="preserve"> (playerGameStats!$R320 * 2) + (playerGameStats!$S320 * 3) + (playerGameStats!$T320)</f>
        <v>12</v>
      </c>
      <c r="R320" s="20">
        <v>2</v>
      </c>
      <c r="S320" s="20">
        <v>2</v>
      </c>
      <c r="T320" s="20">
        <v>2</v>
      </c>
      <c r="U320" s="23">
        <v>2</v>
      </c>
    </row>
    <row r="321" spans="1:21" x14ac:dyDescent="0.25">
      <c r="A321" s="14" t="s">
        <v>329</v>
      </c>
      <c r="B321" s="15">
        <v>2026</v>
      </c>
      <c r="C321" s="15" t="s">
        <v>36</v>
      </c>
      <c r="D321" s="15">
        <v>5</v>
      </c>
      <c r="E321" s="16">
        <v>46146</v>
      </c>
      <c r="F321" s="17">
        <v>0.85416666666666663</v>
      </c>
      <c r="G321" s="15" t="s">
        <v>18</v>
      </c>
      <c r="H321" s="15" t="s">
        <v>310</v>
      </c>
      <c r="I321" s="15" t="s">
        <v>298</v>
      </c>
      <c r="J321" s="15" t="s">
        <v>12</v>
      </c>
      <c r="K321" s="15" t="s">
        <v>46</v>
      </c>
      <c r="L321" s="15" t="s">
        <v>13</v>
      </c>
      <c r="M321" s="15" t="s">
        <v>47</v>
      </c>
      <c r="N321" s="15" t="s">
        <v>258</v>
      </c>
      <c r="O321" s="15" t="str">
        <f>_xlfn.XLOOKUP(N321,players!A:A,players!D:D,"")</f>
        <v>Brett Ziller</v>
      </c>
      <c r="P321" s="15" cm="1">
        <f t="array" ref="P321">_xlfn.XLOOKUP(I321&amp;N321,rosterSpots!B:B&amp;rosterSpots!D:D,rosterSpots!E:E,"")</f>
        <v>8</v>
      </c>
      <c r="Q321" s="15">
        <f xml:space="preserve"> (playerGameStats!$R321 * 2) + (playerGameStats!$S321 * 3) + (playerGameStats!$T321)</f>
        <v>22</v>
      </c>
      <c r="R321" s="15">
        <v>5</v>
      </c>
      <c r="S321" s="15">
        <v>2</v>
      </c>
      <c r="T321" s="15">
        <v>6</v>
      </c>
      <c r="U321" s="18">
        <v>7</v>
      </c>
    </row>
    <row r="322" spans="1:21" x14ac:dyDescent="0.25">
      <c r="A322" s="19" t="s">
        <v>329</v>
      </c>
      <c r="B322" s="20">
        <v>2026</v>
      </c>
      <c r="C322" s="20" t="s">
        <v>36</v>
      </c>
      <c r="D322" s="20">
        <v>5</v>
      </c>
      <c r="E322" s="21">
        <v>46146</v>
      </c>
      <c r="F322" s="22">
        <v>0.85416666666666663</v>
      </c>
      <c r="G322" s="20" t="s">
        <v>18</v>
      </c>
      <c r="H322" s="20" t="s">
        <v>310</v>
      </c>
      <c r="I322" s="20" t="s">
        <v>298</v>
      </c>
      <c r="J322" s="20" t="s">
        <v>12</v>
      </c>
      <c r="K322" s="20" t="s">
        <v>46</v>
      </c>
      <c r="L322" s="20" t="s">
        <v>13</v>
      </c>
      <c r="M322" s="20" t="s">
        <v>47</v>
      </c>
      <c r="N322" s="20" t="s">
        <v>255</v>
      </c>
      <c r="O322" s="20" t="str">
        <f>_xlfn.XLOOKUP(N322,players!A:A,players!D:D,"")</f>
        <v>Connor Stine</v>
      </c>
      <c r="P322" s="20" cm="1">
        <f t="array" ref="P322">_xlfn.XLOOKUP(I322&amp;N322,rosterSpots!B:B&amp;rosterSpots!D:D,rosterSpots!E:E,"")</f>
        <v>14</v>
      </c>
      <c r="Q322" s="20">
        <f xml:space="preserve"> (playerGameStats!$R322 * 2) + (playerGameStats!$S322 * 3) + (playerGameStats!$T322)</f>
        <v>22</v>
      </c>
      <c r="R322" s="20">
        <v>6</v>
      </c>
      <c r="S322" s="20">
        <v>3</v>
      </c>
      <c r="T322" s="20">
        <v>1</v>
      </c>
      <c r="U322" s="23">
        <v>2</v>
      </c>
    </row>
    <row r="323" spans="1:21" x14ac:dyDescent="0.25">
      <c r="A323" s="14" t="s">
        <v>329</v>
      </c>
      <c r="B323" s="15">
        <v>2026</v>
      </c>
      <c r="C323" s="15" t="s">
        <v>36</v>
      </c>
      <c r="D323" s="15">
        <v>5</v>
      </c>
      <c r="E323" s="16">
        <v>46146</v>
      </c>
      <c r="F323" s="17">
        <v>0.85416666666666663</v>
      </c>
      <c r="G323" s="15" t="s">
        <v>18</v>
      </c>
      <c r="H323" s="15" t="s">
        <v>310</v>
      </c>
      <c r="I323" s="15" t="s">
        <v>298</v>
      </c>
      <c r="J323" s="15" t="s">
        <v>12</v>
      </c>
      <c r="K323" s="15" t="s">
        <v>46</v>
      </c>
      <c r="L323" s="15" t="s">
        <v>13</v>
      </c>
      <c r="M323" s="15" t="s">
        <v>47</v>
      </c>
      <c r="N323" s="15" t="s">
        <v>256</v>
      </c>
      <c r="O323" s="15" t="str">
        <f>_xlfn.XLOOKUP(N323,players!A:A,players!D:D,"")</f>
        <v>Sragvi Tirumala</v>
      </c>
      <c r="P323" s="15" cm="1">
        <f t="array" ref="P323">_xlfn.XLOOKUP(I323&amp;N323,rosterSpots!B:B&amp;rosterSpots!D:D,rosterSpots!E:E,"")</f>
        <v>17</v>
      </c>
      <c r="Q323" s="15">
        <f xml:space="preserve"> (playerGameStats!$R323 * 2) + (playerGameStats!$S323 * 3) + (playerGameStats!$T323)</f>
        <v>6</v>
      </c>
      <c r="R323" s="15">
        <v>3</v>
      </c>
      <c r="S323" s="15">
        <v>0</v>
      </c>
      <c r="T323" s="15">
        <v>0</v>
      </c>
      <c r="U323" s="18">
        <v>0</v>
      </c>
    </row>
    <row r="324" spans="1:21" x14ac:dyDescent="0.25">
      <c r="A324" s="19" t="s">
        <v>329</v>
      </c>
      <c r="B324" s="20">
        <v>2026</v>
      </c>
      <c r="C324" s="20" t="s">
        <v>36</v>
      </c>
      <c r="D324" s="20">
        <v>5</v>
      </c>
      <c r="E324" s="21">
        <v>46146</v>
      </c>
      <c r="F324" s="22">
        <v>0.85416666666666663</v>
      </c>
      <c r="G324" s="20" t="s">
        <v>18</v>
      </c>
      <c r="H324" s="20" t="s">
        <v>310</v>
      </c>
      <c r="I324" s="20" t="s">
        <v>298</v>
      </c>
      <c r="J324" s="20" t="s">
        <v>12</v>
      </c>
      <c r="K324" s="20" t="s">
        <v>46</v>
      </c>
      <c r="L324" s="20" t="s">
        <v>13</v>
      </c>
      <c r="M324" s="20" t="s">
        <v>47</v>
      </c>
      <c r="N324" s="20" t="s">
        <v>259</v>
      </c>
      <c r="O324" s="20" t="str">
        <f>_xlfn.XLOOKUP(N324,players!A:A,players!D:D,"")</f>
        <v>Allen Harley</v>
      </c>
      <c r="P324" s="20" cm="1">
        <f t="array" ref="P324">_xlfn.XLOOKUP(I324&amp;N324,rosterSpots!B:B&amp;rosterSpots!D:D,rosterSpots!E:E,"")</f>
        <v>21</v>
      </c>
      <c r="Q324" s="20">
        <f xml:space="preserve"> (playerGameStats!$R324 * 2) + (playerGameStats!$S324 * 3) + (playerGameStats!$T324)</f>
        <v>2</v>
      </c>
      <c r="R324" s="20">
        <v>1</v>
      </c>
      <c r="S324" s="20">
        <v>0</v>
      </c>
      <c r="T324" s="20">
        <v>0</v>
      </c>
      <c r="U324" s="23">
        <v>2</v>
      </c>
    </row>
    <row r="325" spans="1:21" x14ac:dyDescent="0.25">
      <c r="A325" s="14" t="s">
        <v>329</v>
      </c>
      <c r="B325" s="15">
        <v>2026</v>
      </c>
      <c r="C325" s="15" t="s">
        <v>36</v>
      </c>
      <c r="D325" s="15">
        <v>5</v>
      </c>
      <c r="E325" s="16">
        <v>46146</v>
      </c>
      <c r="F325" s="17">
        <v>0.85416666666666663</v>
      </c>
      <c r="G325" s="15" t="s">
        <v>18</v>
      </c>
      <c r="H325" s="15" t="s">
        <v>310</v>
      </c>
      <c r="I325" s="15" t="s">
        <v>298</v>
      </c>
      <c r="J325" s="15" t="s">
        <v>12</v>
      </c>
      <c r="K325" s="15" t="s">
        <v>46</v>
      </c>
      <c r="L325" s="15" t="s">
        <v>13</v>
      </c>
      <c r="M325" s="15" t="s">
        <v>47</v>
      </c>
      <c r="N325" s="15" t="s">
        <v>261</v>
      </c>
      <c r="O325" s="15" t="str">
        <f>_xlfn.XLOOKUP(N325,players!A:A,players!D:D,"")</f>
        <v>Ricky Riaz</v>
      </c>
      <c r="P325" s="15" cm="1">
        <f t="array" ref="P325">_xlfn.XLOOKUP(I325&amp;N325,rosterSpots!B:B&amp;rosterSpots!D:D,rosterSpots!E:E,"")</f>
        <v>30</v>
      </c>
      <c r="Q325" s="15">
        <f xml:space="preserve"> (playerGameStats!$R325 * 2) + (playerGameStats!$S325 * 3) + (playerGameStats!$T325)</f>
        <v>0</v>
      </c>
      <c r="R325" s="15">
        <v>0</v>
      </c>
      <c r="S325" s="15">
        <v>0</v>
      </c>
      <c r="T325" s="15">
        <v>0</v>
      </c>
      <c r="U325" s="18">
        <v>0</v>
      </c>
    </row>
    <row r="326" spans="1:21" x14ac:dyDescent="0.25">
      <c r="A326" s="19" t="s">
        <v>329</v>
      </c>
      <c r="B326" s="20">
        <v>2026</v>
      </c>
      <c r="C326" s="20" t="s">
        <v>36</v>
      </c>
      <c r="D326" s="20">
        <v>5</v>
      </c>
      <c r="E326" s="21">
        <v>46146</v>
      </c>
      <c r="F326" s="22">
        <v>0.85416666666666663</v>
      </c>
      <c r="G326" s="20" t="s">
        <v>18</v>
      </c>
      <c r="H326" s="20" t="s">
        <v>310</v>
      </c>
      <c r="I326" s="20" t="s">
        <v>297</v>
      </c>
      <c r="J326" s="20" t="s">
        <v>13</v>
      </c>
      <c r="K326" s="20" t="s">
        <v>47</v>
      </c>
      <c r="L326" s="20" t="s">
        <v>12</v>
      </c>
      <c r="M326" s="20" t="s">
        <v>46</v>
      </c>
      <c r="N326" s="20" t="s">
        <v>249</v>
      </c>
      <c r="O326" s="20" t="str">
        <f>_xlfn.XLOOKUP(N326,players!A:A,players!D:D,"")</f>
        <v>Chris Ellis</v>
      </c>
      <c r="P326" s="20" cm="1">
        <f t="array" ref="P326">_xlfn.XLOOKUP(I326&amp;N326,rosterSpots!B:B&amp;rosterSpots!D:D,rosterSpots!E:E,"")</f>
        <v>0</v>
      </c>
      <c r="Q326" s="20">
        <f xml:space="preserve"> (playerGameStats!$R326 * 2) + (playerGameStats!$S326 * 3) + (playerGameStats!$T326)</f>
        <v>22</v>
      </c>
      <c r="R326" s="20">
        <v>9</v>
      </c>
      <c r="S326" s="20">
        <v>1</v>
      </c>
      <c r="T326" s="20">
        <v>1</v>
      </c>
      <c r="U326" s="23">
        <v>1</v>
      </c>
    </row>
    <row r="327" spans="1:21" x14ac:dyDescent="0.25">
      <c r="A327" s="14" t="s">
        <v>329</v>
      </c>
      <c r="B327" s="15">
        <v>2026</v>
      </c>
      <c r="C327" s="15" t="s">
        <v>36</v>
      </c>
      <c r="D327" s="15">
        <v>5</v>
      </c>
      <c r="E327" s="16">
        <v>46146</v>
      </c>
      <c r="F327" s="17">
        <v>0.85416666666666663</v>
      </c>
      <c r="G327" s="15" t="s">
        <v>18</v>
      </c>
      <c r="H327" s="15" t="s">
        <v>310</v>
      </c>
      <c r="I327" s="15" t="s">
        <v>297</v>
      </c>
      <c r="J327" s="15" t="s">
        <v>13</v>
      </c>
      <c r="K327" s="15" t="s">
        <v>47</v>
      </c>
      <c r="L327" s="15" t="s">
        <v>12</v>
      </c>
      <c r="M327" s="15" t="s">
        <v>46</v>
      </c>
      <c r="N327" s="15" t="s">
        <v>252</v>
      </c>
      <c r="O327" s="15" t="str">
        <f>_xlfn.XLOOKUP(N327,players!A:A,players!D:D,"")</f>
        <v>Sean Lane</v>
      </c>
      <c r="P327" s="15" cm="1">
        <f t="array" ref="P327">_xlfn.XLOOKUP(I327&amp;N327,rosterSpots!B:B&amp;rosterSpots!D:D,rosterSpots!E:E,"")</f>
        <v>3</v>
      </c>
      <c r="Q327" s="15">
        <f xml:space="preserve"> (playerGameStats!$R327 * 2) + (playerGameStats!$S327 * 3) + (playerGameStats!$T327)</f>
        <v>4</v>
      </c>
      <c r="R327" s="15">
        <v>0</v>
      </c>
      <c r="S327" s="15">
        <v>1</v>
      </c>
      <c r="T327" s="15">
        <v>1</v>
      </c>
      <c r="U327" s="18">
        <v>1</v>
      </c>
    </row>
    <row r="328" spans="1:21" x14ac:dyDescent="0.25">
      <c r="A328" s="19" t="s">
        <v>329</v>
      </c>
      <c r="B328" s="20">
        <v>2026</v>
      </c>
      <c r="C328" s="20" t="s">
        <v>36</v>
      </c>
      <c r="D328" s="20">
        <v>5</v>
      </c>
      <c r="E328" s="21">
        <v>46146</v>
      </c>
      <c r="F328" s="22">
        <v>0.85416666666666663</v>
      </c>
      <c r="G328" s="20" t="s">
        <v>18</v>
      </c>
      <c r="H328" s="20" t="s">
        <v>310</v>
      </c>
      <c r="I328" s="20" t="s">
        <v>297</v>
      </c>
      <c r="J328" s="20" t="s">
        <v>13</v>
      </c>
      <c r="K328" s="20" t="s">
        <v>47</v>
      </c>
      <c r="L328" s="20" t="s">
        <v>12</v>
      </c>
      <c r="M328" s="20" t="s">
        <v>46</v>
      </c>
      <c r="N328" s="20" t="s">
        <v>251</v>
      </c>
      <c r="O328" s="20" t="str">
        <f>_xlfn.XLOOKUP(N328,players!A:A,players!D:D,"")</f>
        <v>Kyle Kelly</v>
      </c>
      <c r="P328" s="20" cm="1">
        <f t="array" ref="P328">_xlfn.XLOOKUP(I328&amp;N328,rosterSpots!B:B&amp;rosterSpots!D:D,rosterSpots!E:E,"")</f>
        <v>13</v>
      </c>
      <c r="Q328" s="20">
        <f xml:space="preserve"> (playerGameStats!$R328 * 2) + (playerGameStats!$S328 * 3) + (playerGameStats!$T328)</f>
        <v>23</v>
      </c>
      <c r="R328" s="20">
        <v>3</v>
      </c>
      <c r="S328" s="20">
        <v>5</v>
      </c>
      <c r="T328" s="20">
        <v>2</v>
      </c>
      <c r="U328" s="23">
        <v>2</v>
      </c>
    </row>
    <row r="329" spans="1:21" x14ac:dyDescent="0.25">
      <c r="A329" s="14" t="s">
        <v>329</v>
      </c>
      <c r="B329" s="15">
        <v>2026</v>
      </c>
      <c r="C329" s="15" t="s">
        <v>36</v>
      </c>
      <c r="D329" s="15">
        <v>5</v>
      </c>
      <c r="E329" s="16">
        <v>46146</v>
      </c>
      <c r="F329" s="17">
        <v>0.85416666666666663</v>
      </c>
      <c r="G329" s="15" t="s">
        <v>18</v>
      </c>
      <c r="H329" s="15" t="s">
        <v>310</v>
      </c>
      <c r="I329" s="15" t="s">
        <v>297</v>
      </c>
      <c r="J329" s="15" t="s">
        <v>13</v>
      </c>
      <c r="K329" s="15" t="s">
        <v>47</v>
      </c>
      <c r="L329" s="15" t="s">
        <v>12</v>
      </c>
      <c r="M329" s="15" t="s">
        <v>46</v>
      </c>
      <c r="N329" s="15" t="s">
        <v>245</v>
      </c>
      <c r="O329" s="15" t="str">
        <f>_xlfn.XLOOKUP(N329,players!A:A,players!D:D,"")</f>
        <v>Deven Cobb</v>
      </c>
      <c r="P329" s="15" cm="1">
        <f t="array" ref="P329">_xlfn.XLOOKUP(I329&amp;N329,rosterSpots!B:B&amp;rosterSpots!D:D,rosterSpots!E:E,"")</f>
        <v>22</v>
      </c>
      <c r="Q329" s="15">
        <f xml:space="preserve"> (playerGameStats!$R329 * 2) + (playerGameStats!$S329 * 3) + (playerGameStats!$T329)</f>
        <v>8</v>
      </c>
      <c r="R329" s="15">
        <v>1</v>
      </c>
      <c r="S329" s="15">
        <v>2</v>
      </c>
      <c r="T329" s="15">
        <v>0</v>
      </c>
      <c r="U329" s="18">
        <v>2</v>
      </c>
    </row>
    <row r="330" spans="1:21" x14ac:dyDescent="0.25">
      <c r="A330" s="19" t="s">
        <v>329</v>
      </c>
      <c r="B330" s="20">
        <v>2026</v>
      </c>
      <c r="C330" s="20" t="s">
        <v>36</v>
      </c>
      <c r="D330" s="20">
        <v>5</v>
      </c>
      <c r="E330" s="21">
        <v>46146</v>
      </c>
      <c r="F330" s="22">
        <v>0.85416666666666663</v>
      </c>
      <c r="G330" s="20" t="s">
        <v>18</v>
      </c>
      <c r="H330" s="20" t="s">
        <v>310</v>
      </c>
      <c r="I330" s="20" t="s">
        <v>297</v>
      </c>
      <c r="J330" s="20" t="s">
        <v>13</v>
      </c>
      <c r="K330" s="20" t="s">
        <v>47</v>
      </c>
      <c r="L330" s="20" t="s">
        <v>12</v>
      </c>
      <c r="M330" s="20" t="s">
        <v>46</v>
      </c>
      <c r="N330" s="20" t="s">
        <v>246</v>
      </c>
      <c r="O330" s="20" t="str">
        <f>_xlfn.XLOOKUP(N330,players!A:A,players!D:D,"")</f>
        <v>Niko Balis</v>
      </c>
      <c r="P330" s="20" cm="1">
        <f t="array" ref="P330">_xlfn.XLOOKUP(I330&amp;N330,rosterSpots!B:B&amp;rosterSpots!D:D,rosterSpots!E:E,"")</f>
        <v>51</v>
      </c>
      <c r="Q330" s="20">
        <f xml:space="preserve"> (playerGameStats!$R330 * 2) + (playerGameStats!$S330 * 3) + (playerGameStats!$T330)</f>
        <v>4</v>
      </c>
      <c r="R330" s="20">
        <v>2</v>
      </c>
      <c r="S330" s="20">
        <v>0</v>
      </c>
      <c r="T330" s="20">
        <v>0</v>
      </c>
      <c r="U330" s="23">
        <v>2</v>
      </c>
    </row>
    <row r="331" spans="1:21" x14ac:dyDescent="0.25">
      <c r="A331" s="14" t="s">
        <v>328</v>
      </c>
      <c r="B331" s="15">
        <v>2026</v>
      </c>
      <c r="C331" s="15" t="s">
        <v>36</v>
      </c>
      <c r="D331" s="15">
        <v>5</v>
      </c>
      <c r="E331" s="16">
        <v>46147</v>
      </c>
      <c r="F331" s="17">
        <v>0.77083333333333337</v>
      </c>
      <c r="G331" s="15" t="s">
        <v>18</v>
      </c>
      <c r="H331" s="15" t="s">
        <v>310</v>
      </c>
      <c r="I331" s="15" t="s">
        <v>294</v>
      </c>
      <c r="J331" s="15" t="s">
        <v>10</v>
      </c>
      <c r="K331" s="15" t="s">
        <v>42</v>
      </c>
      <c r="L331" s="15" t="s">
        <v>12</v>
      </c>
      <c r="M331" s="15" t="s">
        <v>46</v>
      </c>
      <c r="N331" s="15" t="s">
        <v>216</v>
      </c>
      <c r="O331" s="15" t="str">
        <f>_xlfn.XLOOKUP(N331,players!A:A,players!D:D,"")</f>
        <v>Ryan Ricciardelli</v>
      </c>
      <c r="P331" s="15" cm="1">
        <f t="array" ref="P331">_xlfn.XLOOKUP(I331&amp;N331,rosterSpots!B:B&amp;rosterSpots!D:D,rosterSpots!E:E,"")</f>
        <v>2</v>
      </c>
      <c r="Q331" s="15">
        <f xml:space="preserve"> (playerGameStats!$R331 * 2) + (playerGameStats!$S331 * 3) + (playerGameStats!$T331)</f>
        <v>9</v>
      </c>
      <c r="R331" s="15">
        <v>1</v>
      </c>
      <c r="S331" s="15">
        <v>2</v>
      </c>
      <c r="T331" s="15">
        <v>1</v>
      </c>
      <c r="U331" s="18">
        <v>2</v>
      </c>
    </row>
    <row r="332" spans="1:21" x14ac:dyDescent="0.25">
      <c r="A332" s="19" t="s">
        <v>328</v>
      </c>
      <c r="B332" s="20">
        <v>2026</v>
      </c>
      <c r="C332" s="20" t="s">
        <v>36</v>
      </c>
      <c r="D332" s="20">
        <v>5</v>
      </c>
      <c r="E332" s="21">
        <v>46147</v>
      </c>
      <c r="F332" s="22">
        <v>0.77083333333333337</v>
      </c>
      <c r="G332" s="20" t="s">
        <v>18</v>
      </c>
      <c r="H332" s="20" t="s">
        <v>310</v>
      </c>
      <c r="I332" s="20" t="s">
        <v>294</v>
      </c>
      <c r="J332" s="20" t="s">
        <v>10</v>
      </c>
      <c r="K332" s="20" t="s">
        <v>42</v>
      </c>
      <c r="L332" s="20" t="s">
        <v>12</v>
      </c>
      <c r="M332" s="20" t="s">
        <v>46</v>
      </c>
      <c r="N332" s="20" t="s">
        <v>221</v>
      </c>
      <c r="O332" s="20" t="str">
        <f>_xlfn.XLOOKUP(N332,players!A:A,players!D:D,"")</f>
        <v>Dom Sepko</v>
      </c>
      <c r="P332" s="20" cm="1">
        <f t="array" ref="P332">_xlfn.XLOOKUP(I332&amp;N332,rosterSpots!B:B&amp;rosterSpots!D:D,rosterSpots!E:E,"")</f>
        <v>3</v>
      </c>
      <c r="Q332" s="20">
        <f xml:space="preserve"> (playerGameStats!$R332 * 2) + (playerGameStats!$S332 * 3) + (playerGameStats!$T332)</f>
        <v>13</v>
      </c>
      <c r="R332" s="20">
        <v>5</v>
      </c>
      <c r="S332" s="20">
        <v>1</v>
      </c>
      <c r="T332" s="20">
        <v>0</v>
      </c>
      <c r="U332" s="23">
        <v>0</v>
      </c>
    </row>
    <row r="333" spans="1:21" x14ac:dyDescent="0.25">
      <c r="A333" s="14" t="s">
        <v>328</v>
      </c>
      <c r="B333" s="15">
        <v>2026</v>
      </c>
      <c r="C333" s="15" t="s">
        <v>36</v>
      </c>
      <c r="D333" s="15">
        <v>5</v>
      </c>
      <c r="E333" s="16">
        <v>46147</v>
      </c>
      <c r="F333" s="17">
        <v>0.77083333333333337</v>
      </c>
      <c r="G333" s="15" t="s">
        <v>18</v>
      </c>
      <c r="H333" s="15" t="s">
        <v>310</v>
      </c>
      <c r="I333" s="15" t="s">
        <v>294</v>
      </c>
      <c r="J333" s="15" t="s">
        <v>10</v>
      </c>
      <c r="K333" s="15" t="s">
        <v>42</v>
      </c>
      <c r="L333" s="15" t="s">
        <v>12</v>
      </c>
      <c r="M333" s="15" t="s">
        <v>46</v>
      </c>
      <c r="N333" s="15" t="s">
        <v>218</v>
      </c>
      <c r="O333" s="15" t="str">
        <f>_xlfn.XLOOKUP(N333,players!A:A,players!D:D,"")</f>
        <v>Guy Johnson</v>
      </c>
      <c r="P333" s="15" cm="1">
        <f t="array" ref="P333">_xlfn.XLOOKUP(I333&amp;N333,rosterSpots!B:B&amp;rosterSpots!D:D,rosterSpots!E:E,"")</f>
        <v>9</v>
      </c>
      <c r="Q333" s="15">
        <f xml:space="preserve"> (playerGameStats!$R333 * 2) + (playerGameStats!$S333 * 3) + (playerGameStats!$T333)</f>
        <v>18</v>
      </c>
      <c r="R333" s="15">
        <v>3</v>
      </c>
      <c r="S333" s="15">
        <v>4</v>
      </c>
      <c r="T333" s="15">
        <v>0</v>
      </c>
      <c r="U333" s="18">
        <v>0</v>
      </c>
    </row>
    <row r="334" spans="1:21" x14ac:dyDescent="0.25">
      <c r="A334" s="19" t="s">
        <v>328</v>
      </c>
      <c r="B334" s="20">
        <v>2026</v>
      </c>
      <c r="C334" s="20" t="s">
        <v>36</v>
      </c>
      <c r="D334" s="20">
        <v>5</v>
      </c>
      <c r="E334" s="21">
        <v>46147</v>
      </c>
      <c r="F334" s="22">
        <v>0.77083333333333337</v>
      </c>
      <c r="G334" s="20" t="s">
        <v>18</v>
      </c>
      <c r="H334" s="20" t="s">
        <v>310</v>
      </c>
      <c r="I334" s="20" t="s">
        <v>294</v>
      </c>
      <c r="J334" s="20" t="s">
        <v>10</v>
      </c>
      <c r="K334" s="20" t="s">
        <v>42</v>
      </c>
      <c r="L334" s="20" t="s">
        <v>12</v>
      </c>
      <c r="M334" s="20" t="s">
        <v>46</v>
      </c>
      <c r="N334" s="20" t="s">
        <v>223</v>
      </c>
      <c r="O334" s="20" t="str">
        <f>_xlfn.XLOOKUP(N334,players!A:A,players!D:D,"")</f>
        <v>Clayton Kunzweiler</v>
      </c>
      <c r="P334" s="20" cm="1">
        <f t="array" ref="P334">_xlfn.XLOOKUP(I334&amp;N334,rosterSpots!B:B&amp;rosterSpots!D:D,rosterSpots!E:E,"")</f>
        <v>13</v>
      </c>
      <c r="Q334" s="20">
        <f xml:space="preserve"> (playerGameStats!$R334 * 2) + (playerGameStats!$S334 * 3) + (playerGameStats!$T334)</f>
        <v>8</v>
      </c>
      <c r="R334" s="20">
        <v>4</v>
      </c>
      <c r="S334" s="20">
        <v>0</v>
      </c>
      <c r="T334" s="20">
        <v>0</v>
      </c>
      <c r="U334" s="23">
        <v>0</v>
      </c>
    </row>
    <row r="335" spans="1:21" x14ac:dyDescent="0.25">
      <c r="A335" s="14" t="s">
        <v>328</v>
      </c>
      <c r="B335" s="15">
        <v>2026</v>
      </c>
      <c r="C335" s="15" t="s">
        <v>36</v>
      </c>
      <c r="D335" s="15">
        <v>5</v>
      </c>
      <c r="E335" s="16">
        <v>46147</v>
      </c>
      <c r="F335" s="17">
        <v>0.77083333333333337</v>
      </c>
      <c r="G335" s="15" t="s">
        <v>18</v>
      </c>
      <c r="H335" s="15" t="s">
        <v>310</v>
      </c>
      <c r="I335" s="15" t="s">
        <v>294</v>
      </c>
      <c r="J335" s="15" t="s">
        <v>10</v>
      </c>
      <c r="K335" s="15" t="s">
        <v>42</v>
      </c>
      <c r="L335" s="15" t="s">
        <v>12</v>
      </c>
      <c r="M335" s="15" t="s">
        <v>46</v>
      </c>
      <c r="N335" s="15" t="s">
        <v>215</v>
      </c>
      <c r="O335" s="15" t="str">
        <f>_xlfn.XLOOKUP(N335,players!A:A,players!D:D,"")</f>
        <v>Ryan Fontanazza</v>
      </c>
      <c r="P335" s="15" cm="1">
        <f t="array" ref="P335">_xlfn.XLOOKUP(I335&amp;N335,rosterSpots!B:B&amp;rosterSpots!D:D,rosterSpots!E:E,"")</f>
        <v>22</v>
      </c>
      <c r="Q335" s="15">
        <f xml:space="preserve"> (playerGameStats!$R335 * 2) + (playerGameStats!$S335 * 3) + (playerGameStats!$T335)</f>
        <v>6</v>
      </c>
      <c r="R335" s="15">
        <v>3</v>
      </c>
      <c r="S335" s="15">
        <v>0</v>
      </c>
      <c r="T335" s="15">
        <v>0</v>
      </c>
      <c r="U335" s="18">
        <v>0</v>
      </c>
    </row>
    <row r="336" spans="1:21" x14ac:dyDescent="0.25">
      <c r="A336" s="19" t="s">
        <v>328</v>
      </c>
      <c r="B336" s="20">
        <v>2026</v>
      </c>
      <c r="C336" s="20" t="s">
        <v>36</v>
      </c>
      <c r="D336" s="20">
        <v>5</v>
      </c>
      <c r="E336" s="21">
        <v>46147</v>
      </c>
      <c r="F336" s="22">
        <v>0.77083333333333337</v>
      </c>
      <c r="G336" s="20" t="s">
        <v>18</v>
      </c>
      <c r="H336" s="20" t="s">
        <v>310</v>
      </c>
      <c r="I336" s="20" t="s">
        <v>294</v>
      </c>
      <c r="J336" s="20" t="s">
        <v>10</v>
      </c>
      <c r="K336" s="20" t="s">
        <v>42</v>
      </c>
      <c r="L336" s="20" t="s">
        <v>12</v>
      </c>
      <c r="M336" s="20" t="s">
        <v>46</v>
      </c>
      <c r="N336" s="20" t="s">
        <v>224</v>
      </c>
      <c r="O336" s="20" t="str">
        <f>_xlfn.XLOOKUP(N336,players!A:A,players!D:D,"")</f>
        <v>MJ Pierre</v>
      </c>
      <c r="P336" s="20" cm="1">
        <f t="array" ref="P336">_xlfn.XLOOKUP(I336&amp;N336,rosterSpots!B:B&amp;rosterSpots!D:D,rosterSpots!E:E,"")</f>
        <v>24</v>
      </c>
      <c r="Q336" s="20">
        <f xml:space="preserve"> (playerGameStats!$R336 * 2) + (playerGameStats!$S336 * 3) + (playerGameStats!$T336)</f>
        <v>0</v>
      </c>
      <c r="R336" s="20">
        <v>0</v>
      </c>
      <c r="S336" s="20">
        <v>0</v>
      </c>
      <c r="T336" s="20">
        <v>0</v>
      </c>
      <c r="U336" s="23">
        <v>0</v>
      </c>
    </row>
    <row r="337" spans="1:21" x14ac:dyDescent="0.25">
      <c r="A337" s="14" t="s">
        <v>328</v>
      </c>
      <c r="B337" s="15">
        <v>2026</v>
      </c>
      <c r="C337" s="15" t="s">
        <v>36</v>
      </c>
      <c r="D337" s="15">
        <v>5</v>
      </c>
      <c r="E337" s="16">
        <v>46147</v>
      </c>
      <c r="F337" s="17">
        <v>0.77083333333333337</v>
      </c>
      <c r="G337" s="15" t="s">
        <v>18</v>
      </c>
      <c r="H337" s="15" t="s">
        <v>310</v>
      </c>
      <c r="I337" s="15" t="s">
        <v>294</v>
      </c>
      <c r="J337" s="15" t="s">
        <v>10</v>
      </c>
      <c r="K337" s="15" t="s">
        <v>42</v>
      </c>
      <c r="L337" s="15" t="s">
        <v>12</v>
      </c>
      <c r="M337" s="15" t="s">
        <v>46</v>
      </c>
      <c r="N337" s="15" t="s">
        <v>217</v>
      </c>
      <c r="O337" s="15" t="str">
        <f>_xlfn.XLOOKUP(N337,players!A:A,players!D:D,"")</f>
        <v>Sean Denson</v>
      </c>
      <c r="P337" s="15" cm="1">
        <f t="array" ref="P337">_xlfn.XLOOKUP(I337&amp;N337,rosterSpots!B:B&amp;rosterSpots!D:D,rosterSpots!E:E,"")</f>
        <v>33</v>
      </c>
      <c r="Q337" s="15">
        <f xml:space="preserve"> (playerGameStats!$R337 * 2) + (playerGameStats!$S337 * 3) + (playerGameStats!$T337)</f>
        <v>4</v>
      </c>
      <c r="R337" s="15">
        <v>2</v>
      </c>
      <c r="S337" s="15">
        <v>0</v>
      </c>
      <c r="T337" s="15">
        <v>0</v>
      </c>
      <c r="U337" s="18">
        <v>0</v>
      </c>
    </row>
    <row r="338" spans="1:21" x14ac:dyDescent="0.25">
      <c r="A338" s="19" t="s">
        <v>328</v>
      </c>
      <c r="B338" s="20">
        <v>2026</v>
      </c>
      <c r="C338" s="20" t="s">
        <v>36</v>
      </c>
      <c r="D338" s="20">
        <v>5</v>
      </c>
      <c r="E338" s="21">
        <v>46147</v>
      </c>
      <c r="F338" s="22">
        <v>0.77083333333333337</v>
      </c>
      <c r="G338" s="20" t="s">
        <v>18</v>
      </c>
      <c r="H338" s="20" t="s">
        <v>310</v>
      </c>
      <c r="I338" s="20" t="s">
        <v>298</v>
      </c>
      <c r="J338" s="20" t="s">
        <v>12</v>
      </c>
      <c r="K338" s="20" t="s">
        <v>46</v>
      </c>
      <c r="L338" s="20" t="s">
        <v>10</v>
      </c>
      <c r="M338" s="20" t="s">
        <v>42</v>
      </c>
      <c r="N338" s="20" t="s">
        <v>253</v>
      </c>
      <c r="O338" s="20" t="str">
        <f>_xlfn.XLOOKUP(N338,players!A:A,players!D:D,"")</f>
        <v>Doug Adams</v>
      </c>
      <c r="P338" s="20" cm="1">
        <f t="array" ref="P338">_xlfn.XLOOKUP(I338&amp;N338,rosterSpots!B:B&amp;rosterSpots!D:D,rosterSpots!E:E,"")</f>
        <v>3</v>
      </c>
      <c r="Q338" s="20">
        <f xml:space="preserve"> (playerGameStats!$R338 * 2) + (playerGameStats!$S338 * 3) + (playerGameStats!$T338)</f>
        <v>20</v>
      </c>
      <c r="R338" s="20">
        <v>3</v>
      </c>
      <c r="S338" s="20">
        <v>3</v>
      </c>
      <c r="T338" s="20">
        <v>5</v>
      </c>
      <c r="U338" s="23">
        <v>5</v>
      </c>
    </row>
    <row r="339" spans="1:21" x14ac:dyDescent="0.25">
      <c r="A339" s="14" t="s">
        <v>328</v>
      </c>
      <c r="B339" s="15">
        <v>2026</v>
      </c>
      <c r="C339" s="15" t="s">
        <v>36</v>
      </c>
      <c r="D339" s="15">
        <v>5</v>
      </c>
      <c r="E339" s="16">
        <v>46147</v>
      </c>
      <c r="F339" s="17">
        <v>0.77083333333333337</v>
      </c>
      <c r="G339" s="15" t="s">
        <v>18</v>
      </c>
      <c r="H339" s="15" t="s">
        <v>310</v>
      </c>
      <c r="I339" s="15" t="s">
        <v>298</v>
      </c>
      <c r="J339" s="15" t="s">
        <v>12</v>
      </c>
      <c r="K339" s="15" t="s">
        <v>46</v>
      </c>
      <c r="L339" s="15" t="s">
        <v>10</v>
      </c>
      <c r="M339" s="15" t="s">
        <v>42</v>
      </c>
      <c r="N339" s="15" t="s">
        <v>254</v>
      </c>
      <c r="O339" s="15" t="str">
        <f>_xlfn.XLOOKUP(N339,players!A:A,players!D:D,"")</f>
        <v>Kelechi Madu</v>
      </c>
      <c r="P339" s="15" cm="1">
        <f t="array" ref="P339">_xlfn.XLOOKUP(I339&amp;N339,rosterSpots!B:B&amp;rosterSpots!D:D,rosterSpots!E:E,"")</f>
        <v>13</v>
      </c>
      <c r="Q339" s="15">
        <f xml:space="preserve"> (playerGameStats!$R339 * 2) + (playerGameStats!$S339 * 3) + (playerGameStats!$T339)</f>
        <v>3</v>
      </c>
      <c r="R339" s="15">
        <v>0</v>
      </c>
      <c r="S339" s="15">
        <v>1</v>
      </c>
      <c r="T339" s="15">
        <v>0</v>
      </c>
      <c r="U339" s="18">
        <v>0</v>
      </c>
    </row>
    <row r="340" spans="1:21" x14ac:dyDescent="0.25">
      <c r="A340" s="19" t="s">
        <v>328</v>
      </c>
      <c r="B340" s="20">
        <v>2026</v>
      </c>
      <c r="C340" s="20" t="s">
        <v>36</v>
      </c>
      <c r="D340" s="20">
        <v>5</v>
      </c>
      <c r="E340" s="21">
        <v>46147</v>
      </c>
      <c r="F340" s="22">
        <v>0.77083333333333337</v>
      </c>
      <c r="G340" s="20" t="s">
        <v>18</v>
      </c>
      <c r="H340" s="20" t="s">
        <v>310</v>
      </c>
      <c r="I340" s="20" t="s">
        <v>298</v>
      </c>
      <c r="J340" s="20" t="s">
        <v>12</v>
      </c>
      <c r="K340" s="20" t="s">
        <v>46</v>
      </c>
      <c r="L340" s="20" t="s">
        <v>10</v>
      </c>
      <c r="M340" s="20" t="s">
        <v>42</v>
      </c>
      <c r="N340" s="20" t="s">
        <v>255</v>
      </c>
      <c r="O340" s="20" t="str">
        <f>_xlfn.XLOOKUP(N340,players!A:A,players!D:D,"")</f>
        <v>Connor Stine</v>
      </c>
      <c r="P340" s="20" cm="1">
        <f t="array" ref="P340">_xlfn.XLOOKUP(I340&amp;N340,rosterSpots!B:B&amp;rosterSpots!D:D,rosterSpots!E:E,"")</f>
        <v>14</v>
      </c>
      <c r="Q340" s="20">
        <f xml:space="preserve"> (playerGameStats!$R340 * 2) + (playerGameStats!$S340 * 3) + (playerGameStats!$T340)</f>
        <v>6</v>
      </c>
      <c r="R340" s="20">
        <v>3</v>
      </c>
      <c r="S340" s="20">
        <v>0</v>
      </c>
      <c r="T340" s="20">
        <v>0</v>
      </c>
      <c r="U340" s="23">
        <v>2</v>
      </c>
    </row>
    <row r="341" spans="1:21" x14ac:dyDescent="0.25">
      <c r="A341" s="14" t="s">
        <v>328</v>
      </c>
      <c r="B341" s="15">
        <v>2026</v>
      </c>
      <c r="C341" s="15" t="s">
        <v>36</v>
      </c>
      <c r="D341" s="15">
        <v>5</v>
      </c>
      <c r="E341" s="16">
        <v>46147</v>
      </c>
      <c r="F341" s="17">
        <v>0.77083333333333337</v>
      </c>
      <c r="G341" s="15" t="s">
        <v>18</v>
      </c>
      <c r="H341" s="15" t="s">
        <v>310</v>
      </c>
      <c r="I341" s="15" t="s">
        <v>298</v>
      </c>
      <c r="J341" s="15" t="s">
        <v>12</v>
      </c>
      <c r="K341" s="15" t="s">
        <v>46</v>
      </c>
      <c r="L341" s="15" t="s">
        <v>10</v>
      </c>
      <c r="M341" s="15" t="s">
        <v>42</v>
      </c>
      <c r="N341" s="15" t="s">
        <v>256</v>
      </c>
      <c r="O341" s="15" t="str">
        <f>_xlfn.XLOOKUP(N341,players!A:A,players!D:D,"")</f>
        <v>Sragvi Tirumala</v>
      </c>
      <c r="P341" s="15" cm="1">
        <f t="array" ref="P341">_xlfn.XLOOKUP(I341&amp;N341,rosterSpots!B:B&amp;rosterSpots!D:D,rosterSpots!E:E,"")</f>
        <v>17</v>
      </c>
      <c r="Q341" s="15">
        <f xml:space="preserve"> (playerGameStats!$R341 * 2) + (playerGameStats!$S341 * 3) + (playerGameStats!$T341)</f>
        <v>13</v>
      </c>
      <c r="R341" s="15">
        <v>5</v>
      </c>
      <c r="S341" s="15">
        <v>1</v>
      </c>
      <c r="T341" s="15">
        <v>0</v>
      </c>
      <c r="U341" s="18">
        <v>0</v>
      </c>
    </row>
    <row r="342" spans="1:21" x14ac:dyDescent="0.25">
      <c r="A342" s="19" t="s">
        <v>328</v>
      </c>
      <c r="B342" s="20">
        <v>2026</v>
      </c>
      <c r="C342" s="20" t="s">
        <v>36</v>
      </c>
      <c r="D342" s="20">
        <v>5</v>
      </c>
      <c r="E342" s="21">
        <v>46147</v>
      </c>
      <c r="F342" s="22">
        <v>0.77083333333333337</v>
      </c>
      <c r="G342" s="20" t="s">
        <v>18</v>
      </c>
      <c r="H342" s="20" t="s">
        <v>310</v>
      </c>
      <c r="I342" s="20" t="s">
        <v>298</v>
      </c>
      <c r="J342" s="20" t="s">
        <v>12</v>
      </c>
      <c r="K342" s="20" t="s">
        <v>46</v>
      </c>
      <c r="L342" s="20" t="s">
        <v>10</v>
      </c>
      <c r="M342" s="20" t="s">
        <v>42</v>
      </c>
      <c r="N342" s="20" t="s">
        <v>261</v>
      </c>
      <c r="O342" s="20" t="str">
        <f>_xlfn.XLOOKUP(N342,players!A:A,players!D:D,"")</f>
        <v>Ricky Riaz</v>
      </c>
      <c r="P342" s="20" cm="1">
        <f t="array" ref="P342">_xlfn.XLOOKUP(I342&amp;N342,rosterSpots!B:B&amp;rosterSpots!D:D,rosterSpots!E:E,"")</f>
        <v>30</v>
      </c>
      <c r="Q342" s="20">
        <f xml:space="preserve"> (playerGameStats!$R342 * 2) + (playerGameStats!$S342 * 3) + (playerGameStats!$T342)</f>
        <v>0</v>
      </c>
      <c r="R342" s="20">
        <v>0</v>
      </c>
      <c r="S342" s="20">
        <v>0</v>
      </c>
      <c r="T342" s="20">
        <v>0</v>
      </c>
      <c r="U342" s="23">
        <v>0</v>
      </c>
    </row>
    <row r="343" spans="1:21" x14ac:dyDescent="0.25">
      <c r="A343" s="14" t="s">
        <v>327</v>
      </c>
      <c r="B343" s="15">
        <v>2026</v>
      </c>
      <c r="C343" s="15" t="s">
        <v>36</v>
      </c>
      <c r="D343" s="15">
        <v>5</v>
      </c>
      <c r="E343" s="16">
        <v>46147</v>
      </c>
      <c r="F343" s="17">
        <v>0.85416666666666663</v>
      </c>
      <c r="G343" s="15" t="s">
        <v>18</v>
      </c>
      <c r="H343" s="15" t="s">
        <v>310</v>
      </c>
      <c r="I343" s="15" t="s">
        <v>295</v>
      </c>
      <c r="J343" s="15" t="s">
        <v>11</v>
      </c>
      <c r="K343" s="15" t="s">
        <v>45</v>
      </c>
      <c r="L343" s="15" t="s">
        <v>15</v>
      </c>
      <c r="M343" s="15" t="s">
        <v>48</v>
      </c>
      <c r="N343" s="15" t="s">
        <v>232</v>
      </c>
      <c r="O343" s="15" t="str">
        <f>_xlfn.XLOOKUP(N343,players!A:A,players!D:D,"")</f>
        <v>Patrick Bellino</v>
      </c>
      <c r="P343" s="15" cm="1">
        <f t="array" ref="P343">_xlfn.XLOOKUP(I343&amp;N343,rosterSpots!B:B&amp;rosterSpots!D:D,rosterSpots!E:E,"")</f>
        <v>1</v>
      </c>
      <c r="Q343" s="15">
        <f xml:space="preserve"> (playerGameStats!$R343 * 2) + (playerGameStats!$S343 * 3) + (playerGameStats!$T343)</f>
        <v>2</v>
      </c>
      <c r="R343" s="15">
        <v>1</v>
      </c>
      <c r="S343" s="15">
        <v>0</v>
      </c>
      <c r="T343" s="15">
        <v>0</v>
      </c>
      <c r="U343" s="18">
        <v>0</v>
      </c>
    </row>
    <row r="344" spans="1:21" x14ac:dyDescent="0.25">
      <c r="A344" s="19" t="s">
        <v>327</v>
      </c>
      <c r="B344" s="20">
        <v>2026</v>
      </c>
      <c r="C344" s="20" t="s">
        <v>36</v>
      </c>
      <c r="D344" s="20">
        <v>5</v>
      </c>
      <c r="E344" s="21">
        <v>46147</v>
      </c>
      <c r="F344" s="22">
        <v>0.85416666666666663</v>
      </c>
      <c r="G344" s="20" t="s">
        <v>18</v>
      </c>
      <c r="H344" s="20" t="s">
        <v>310</v>
      </c>
      <c r="I344" s="20" t="s">
        <v>295</v>
      </c>
      <c r="J344" s="20" t="s">
        <v>11</v>
      </c>
      <c r="K344" s="20" t="s">
        <v>45</v>
      </c>
      <c r="L344" s="20" t="s">
        <v>15</v>
      </c>
      <c r="M344" s="20" t="s">
        <v>48</v>
      </c>
      <c r="N344" s="20" t="s">
        <v>226</v>
      </c>
      <c r="O344" s="20" t="str">
        <f>_xlfn.XLOOKUP(N344,players!A:A,players!D:D,"")</f>
        <v>Mike Ziller</v>
      </c>
      <c r="P344" s="20" cm="1">
        <f t="array" ref="P344">_xlfn.XLOOKUP(I344&amp;N344,rosterSpots!B:B&amp;rosterSpots!D:D,rosterSpots!E:E,"")</f>
        <v>2</v>
      </c>
      <c r="Q344" s="20">
        <f xml:space="preserve"> (playerGameStats!$R344 * 2) + (playerGameStats!$S344 * 3) + (playerGameStats!$T344)</f>
        <v>16</v>
      </c>
      <c r="R344" s="20">
        <v>5</v>
      </c>
      <c r="S344" s="20">
        <v>2</v>
      </c>
      <c r="T344" s="20">
        <v>0</v>
      </c>
      <c r="U344" s="23">
        <v>0</v>
      </c>
    </row>
    <row r="345" spans="1:21" x14ac:dyDescent="0.25">
      <c r="A345" s="14" t="s">
        <v>327</v>
      </c>
      <c r="B345" s="15">
        <v>2026</v>
      </c>
      <c r="C345" s="15" t="s">
        <v>36</v>
      </c>
      <c r="D345" s="15">
        <v>5</v>
      </c>
      <c r="E345" s="16">
        <v>46147</v>
      </c>
      <c r="F345" s="17">
        <v>0.85416666666666663</v>
      </c>
      <c r="G345" s="15" t="s">
        <v>18</v>
      </c>
      <c r="H345" s="15" t="s">
        <v>310</v>
      </c>
      <c r="I345" s="15" t="s">
        <v>295</v>
      </c>
      <c r="J345" s="15" t="s">
        <v>11</v>
      </c>
      <c r="K345" s="15" t="s">
        <v>45</v>
      </c>
      <c r="L345" s="15" t="s">
        <v>15</v>
      </c>
      <c r="M345" s="15" t="s">
        <v>48</v>
      </c>
      <c r="N345" s="15" t="s">
        <v>227</v>
      </c>
      <c r="O345" s="15" t="str">
        <f>_xlfn.XLOOKUP(N345,players!A:A,players!D:D,"")</f>
        <v>Dave Homsher</v>
      </c>
      <c r="P345" s="15" cm="1">
        <f t="array" ref="P345">_xlfn.XLOOKUP(I345&amp;N345,rosterSpots!B:B&amp;rosterSpots!D:D,rosterSpots!E:E,"")</f>
        <v>3</v>
      </c>
      <c r="Q345" s="15">
        <f xml:space="preserve"> (playerGameStats!$R345 * 2) + (playerGameStats!$S345 * 3) + (playerGameStats!$T345)</f>
        <v>14</v>
      </c>
      <c r="R345" s="15">
        <v>2</v>
      </c>
      <c r="S345" s="15">
        <v>2</v>
      </c>
      <c r="T345" s="15">
        <v>4</v>
      </c>
      <c r="U345" s="18">
        <v>6</v>
      </c>
    </row>
    <row r="346" spans="1:21" x14ac:dyDescent="0.25">
      <c r="A346" s="19" t="s">
        <v>327</v>
      </c>
      <c r="B346" s="20">
        <v>2026</v>
      </c>
      <c r="C346" s="20" t="s">
        <v>36</v>
      </c>
      <c r="D346" s="20">
        <v>5</v>
      </c>
      <c r="E346" s="21">
        <v>46147</v>
      </c>
      <c r="F346" s="22">
        <v>0.85416666666666663</v>
      </c>
      <c r="G346" s="20" t="s">
        <v>18</v>
      </c>
      <c r="H346" s="20" t="s">
        <v>310</v>
      </c>
      <c r="I346" s="20" t="s">
        <v>295</v>
      </c>
      <c r="J346" s="20" t="s">
        <v>11</v>
      </c>
      <c r="K346" s="20" t="s">
        <v>45</v>
      </c>
      <c r="L346" s="20" t="s">
        <v>15</v>
      </c>
      <c r="M346" s="20" t="s">
        <v>48</v>
      </c>
      <c r="N346" s="20" t="s">
        <v>230</v>
      </c>
      <c r="O346" s="20" t="str">
        <f>_xlfn.XLOOKUP(N346,players!A:A,players!D:D,"")</f>
        <v>Angel Carrion</v>
      </c>
      <c r="P346" s="20" cm="1">
        <f t="array" ref="P346">_xlfn.XLOOKUP(I346&amp;N346,rosterSpots!B:B&amp;rosterSpots!D:D,rosterSpots!E:E,"")</f>
        <v>7</v>
      </c>
      <c r="Q346" s="20">
        <f xml:space="preserve"> (playerGameStats!$R346 * 2) + (playerGameStats!$S346 * 3) + (playerGameStats!$T346)</f>
        <v>0</v>
      </c>
      <c r="R346" s="20">
        <v>0</v>
      </c>
      <c r="S346" s="20">
        <v>0</v>
      </c>
      <c r="T346" s="20">
        <v>0</v>
      </c>
      <c r="U346" s="23">
        <v>0</v>
      </c>
    </row>
    <row r="347" spans="1:21" x14ac:dyDescent="0.25">
      <c r="A347" s="14" t="s">
        <v>327</v>
      </c>
      <c r="B347" s="15">
        <v>2026</v>
      </c>
      <c r="C347" s="15" t="s">
        <v>36</v>
      </c>
      <c r="D347" s="15">
        <v>5</v>
      </c>
      <c r="E347" s="16">
        <v>46147</v>
      </c>
      <c r="F347" s="17">
        <v>0.85416666666666663</v>
      </c>
      <c r="G347" s="15" t="s">
        <v>18</v>
      </c>
      <c r="H347" s="15" t="s">
        <v>310</v>
      </c>
      <c r="I347" s="15" t="s">
        <v>295</v>
      </c>
      <c r="J347" s="15" t="s">
        <v>11</v>
      </c>
      <c r="K347" s="15" t="s">
        <v>45</v>
      </c>
      <c r="L347" s="15" t="s">
        <v>15</v>
      </c>
      <c r="M347" s="15" t="s">
        <v>48</v>
      </c>
      <c r="N347" s="15" t="s">
        <v>307</v>
      </c>
      <c r="O347" s="15" t="str">
        <f>_xlfn.XLOOKUP(N347,players!A:A,players!D:D,"")</f>
        <v>Thomas Nasto</v>
      </c>
      <c r="P347" s="15" cm="1">
        <f t="array" ref="P347">_xlfn.XLOOKUP(I347&amp;N347,rosterSpots!B:B&amp;rosterSpots!D:D,rosterSpots!E:E,"")</f>
        <v>9</v>
      </c>
      <c r="Q347" s="15">
        <f xml:space="preserve"> (playerGameStats!$R347 * 2) + (playerGameStats!$S347 * 3) + (playerGameStats!$T347)</f>
        <v>2</v>
      </c>
      <c r="R347" s="15">
        <v>1</v>
      </c>
      <c r="S347" s="15">
        <v>0</v>
      </c>
      <c r="T347" s="15">
        <v>0</v>
      </c>
      <c r="U347" s="18">
        <v>0</v>
      </c>
    </row>
    <row r="348" spans="1:21" x14ac:dyDescent="0.25">
      <c r="A348" s="19" t="s">
        <v>327</v>
      </c>
      <c r="B348" s="20">
        <v>2026</v>
      </c>
      <c r="C348" s="20" t="s">
        <v>36</v>
      </c>
      <c r="D348" s="20">
        <v>5</v>
      </c>
      <c r="E348" s="21">
        <v>46147</v>
      </c>
      <c r="F348" s="22">
        <v>0.85416666666666663</v>
      </c>
      <c r="G348" s="20" t="s">
        <v>18</v>
      </c>
      <c r="H348" s="20" t="s">
        <v>310</v>
      </c>
      <c r="I348" s="20" t="s">
        <v>295</v>
      </c>
      <c r="J348" s="20" t="s">
        <v>11</v>
      </c>
      <c r="K348" s="20" t="s">
        <v>45</v>
      </c>
      <c r="L348" s="20" t="s">
        <v>15</v>
      </c>
      <c r="M348" s="20" t="s">
        <v>48</v>
      </c>
      <c r="N348" s="20" t="s">
        <v>228</v>
      </c>
      <c r="O348" s="20" t="str">
        <f>_xlfn.XLOOKUP(N348,players!A:A,players!D:D,"")</f>
        <v>Scott Brusseler</v>
      </c>
      <c r="P348" s="20" cm="1">
        <f t="array" ref="P348">_xlfn.XLOOKUP(I348&amp;N348,rosterSpots!B:B&amp;rosterSpots!D:D,rosterSpots!E:E,"")</f>
        <v>14</v>
      </c>
      <c r="Q348" s="20">
        <f xml:space="preserve"> (playerGameStats!$R348 * 2) + (playerGameStats!$S348 * 3) + (playerGameStats!$T348)</f>
        <v>18</v>
      </c>
      <c r="R348" s="20">
        <v>2</v>
      </c>
      <c r="S348" s="20">
        <v>2</v>
      </c>
      <c r="T348" s="20">
        <v>8</v>
      </c>
      <c r="U348" s="23">
        <v>10</v>
      </c>
    </row>
    <row r="349" spans="1:21" x14ac:dyDescent="0.25">
      <c r="A349" s="14" t="s">
        <v>327</v>
      </c>
      <c r="B349" s="15">
        <v>2026</v>
      </c>
      <c r="C349" s="15" t="s">
        <v>36</v>
      </c>
      <c r="D349" s="15">
        <v>5</v>
      </c>
      <c r="E349" s="16">
        <v>46147</v>
      </c>
      <c r="F349" s="17">
        <v>0.85416666666666663</v>
      </c>
      <c r="G349" s="15" t="s">
        <v>18</v>
      </c>
      <c r="H349" s="15" t="s">
        <v>310</v>
      </c>
      <c r="I349" s="15" t="s">
        <v>295</v>
      </c>
      <c r="J349" s="15" t="s">
        <v>11</v>
      </c>
      <c r="K349" s="15" t="s">
        <v>45</v>
      </c>
      <c r="L349" s="15" t="s">
        <v>15</v>
      </c>
      <c r="M349" s="15" t="s">
        <v>48</v>
      </c>
      <c r="N349" s="15" t="s">
        <v>229</v>
      </c>
      <c r="O349" s="15" t="str">
        <f>_xlfn.XLOOKUP(N349,players!A:A,players!D:D,"")</f>
        <v>Anthony Shelepets</v>
      </c>
      <c r="P349" s="15" cm="1">
        <f t="array" ref="P349">_xlfn.XLOOKUP(I349&amp;N349,rosterSpots!B:B&amp;rosterSpots!D:D,rosterSpots!E:E,"")</f>
        <v>53</v>
      </c>
      <c r="Q349" s="15">
        <f xml:space="preserve"> (playerGameStats!$R349 * 2) + (playerGameStats!$S349 * 3) + (playerGameStats!$T349)</f>
        <v>20</v>
      </c>
      <c r="R349" s="15">
        <v>10</v>
      </c>
      <c r="S349" s="15">
        <v>0</v>
      </c>
      <c r="T349" s="15">
        <v>0</v>
      </c>
      <c r="U349" s="18">
        <v>1</v>
      </c>
    </row>
    <row r="350" spans="1:21" x14ac:dyDescent="0.25">
      <c r="A350" s="19" t="s">
        <v>327</v>
      </c>
      <c r="B350" s="20">
        <v>2026</v>
      </c>
      <c r="C350" s="20" t="s">
        <v>36</v>
      </c>
      <c r="D350" s="20">
        <v>5</v>
      </c>
      <c r="E350" s="21">
        <v>46147</v>
      </c>
      <c r="F350" s="22">
        <v>0.85416666666666663</v>
      </c>
      <c r="G350" s="20" t="s">
        <v>18</v>
      </c>
      <c r="H350" s="20" t="s">
        <v>310</v>
      </c>
      <c r="I350" s="20" t="s">
        <v>296</v>
      </c>
      <c r="J350" s="20" t="s">
        <v>15</v>
      </c>
      <c r="K350" s="20" t="s">
        <v>48</v>
      </c>
      <c r="L350" s="20" t="s">
        <v>11</v>
      </c>
      <c r="M350" s="20" t="s">
        <v>45</v>
      </c>
      <c r="N350" s="20" t="s">
        <v>238</v>
      </c>
      <c r="O350" s="20" t="str">
        <f>_xlfn.XLOOKUP(N350,players!A:A,players!D:D,"")</f>
        <v>Derin Sweeney</v>
      </c>
      <c r="P350" s="20" cm="1">
        <f t="array" ref="P350">_xlfn.XLOOKUP(I350&amp;N350,rosterSpots!B:B&amp;rosterSpots!D:D,rosterSpots!E:E,"")</f>
        <v>0</v>
      </c>
      <c r="Q350" s="20">
        <f xml:space="preserve"> (playerGameStats!$R350 * 2) + (playerGameStats!$S350 * 3) + (playerGameStats!$T350)</f>
        <v>18</v>
      </c>
      <c r="R350" s="20">
        <v>0</v>
      </c>
      <c r="S350" s="20">
        <v>6</v>
      </c>
      <c r="T350" s="20">
        <v>0</v>
      </c>
      <c r="U350" s="23">
        <v>0</v>
      </c>
    </row>
    <row r="351" spans="1:21" x14ac:dyDescent="0.25">
      <c r="A351" s="14" t="s">
        <v>327</v>
      </c>
      <c r="B351" s="15">
        <v>2026</v>
      </c>
      <c r="C351" s="15" t="s">
        <v>36</v>
      </c>
      <c r="D351" s="15">
        <v>5</v>
      </c>
      <c r="E351" s="16">
        <v>46147</v>
      </c>
      <c r="F351" s="17">
        <v>0.85416666666666663</v>
      </c>
      <c r="G351" s="15" t="s">
        <v>18</v>
      </c>
      <c r="H351" s="15" t="s">
        <v>310</v>
      </c>
      <c r="I351" s="15" t="s">
        <v>296</v>
      </c>
      <c r="J351" s="15" t="s">
        <v>15</v>
      </c>
      <c r="K351" s="15" t="s">
        <v>48</v>
      </c>
      <c r="L351" s="15" t="s">
        <v>11</v>
      </c>
      <c r="M351" s="15" t="s">
        <v>45</v>
      </c>
      <c r="N351" s="15" t="s">
        <v>240</v>
      </c>
      <c r="O351" s="15" t="str">
        <f>_xlfn.XLOOKUP(N351,players!A:A,players!D:D,"")</f>
        <v>Kevin Tierney</v>
      </c>
      <c r="P351" s="15" cm="1">
        <f t="array" ref="P351">_xlfn.XLOOKUP(I351&amp;N351,rosterSpots!B:B&amp;rosterSpots!D:D,rosterSpots!E:E,"")</f>
        <v>1</v>
      </c>
      <c r="Q351" s="15">
        <f xml:space="preserve"> (playerGameStats!$R351 * 2) + (playerGameStats!$S351 * 3) + (playerGameStats!$T351)</f>
        <v>17</v>
      </c>
      <c r="R351" s="15">
        <v>1</v>
      </c>
      <c r="S351" s="15">
        <v>5</v>
      </c>
      <c r="T351" s="15">
        <v>0</v>
      </c>
      <c r="U351" s="18">
        <v>0</v>
      </c>
    </row>
    <row r="352" spans="1:21" x14ac:dyDescent="0.25">
      <c r="A352" s="19" t="s">
        <v>327</v>
      </c>
      <c r="B352" s="20">
        <v>2026</v>
      </c>
      <c r="C352" s="20" t="s">
        <v>36</v>
      </c>
      <c r="D352" s="20">
        <v>5</v>
      </c>
      <c r="E352" s="21">
        <v>46147</v>
      </c>
      <c r="F352" s="22">
        <v>0.85416666666666663</v>
      </c>
      <c r="G352" s="20" t="s">
        <v>18</v>
      </c>
      <c r="H352" s="20" t="s">
        <v>310</v>
      </c>
      <c r="I352" s="20" t="s">
        <v>296</v>
      </c>
      <c r="J352" s="20" t="s">
        <v>15</v>
      </c>
      <c r="K352" s="20" t="s">
        <v>48</v>
      </c>
      <c r="L352" s="20" t="s">
        <v>11</v>
      </c>
      <c r="M352" s="20" t="s">
        <v>45</v>
      </c>
      <c r="N352" s="20" t="s">
        <v>243</v>
      </c>
      <c r="O352" s="20" t="str">
        <f>_xlfn.XLOOKUP(N352,players!A:A,players!D:D,"")</f>
        <v>Donald Owens</v>
      </c>
      <c r="P352" s="20" cm="1">
        <f t="array" ref="P352">_xlfn.XLOOKUP(I352&amp;N352,rosterSpots!B:B&amp;rosterSpots!D:D,rosterSpots!E:E,"")</f>
        <v>11</v>
      </c>
      <c r="Q352" s="20">
        <f xml:space="preserve"> (playerGameStats!$R352 * 2) + (playerGameStats!$S352 * 3) + (playerGameStats!$T352)</f>
        <v>3</v>
      </c>
      <c r="R352" s="20">
        <v>0</v>
      </c>
      <c r="S352" s="20">
        <v>1</v>
      </c>
      <c r="T352" s="20">
        <v>0</v>
      </c>
      <c r="U352" s="23">
        <v>0</v>
      </c>
    </row>
    <row r="353" spans="1:21" x14ac:dyDescent="0.25">
      <c r="A353" s="14" t="s">
        <v>327</v>
      </c>
      <c r="B353" s="15">
        <v>2026</v>
      </c>
      <c r="C353" s="15" t="s">
        <v>36</v>
      </c>
      <c r="D353" s="15">
        <v>5</v>
      </c>
      <c r="E353" s="16">
        <v>46147</v>
      </c>
      <c r="F353" s="17">
        <v>0.85416666666666663</v>
      </c>
      <c r="G353" s="15" t="s">
        <v>18</v>
      </c>
      <c r="H353" s="15" t="s">
        <v>310</v>
      </c>
      <c r="I353" s="15" t="s">
        <v>296</v>
      </c>
      <c r="J353" s="15" t="s">
        <v>15</v>
      </c>
      <c r="K353" s="15" t="s">
        <v>48</v>
      </c>
      <c r="L353" s="15" t="s">
        <v>11</v>
      </c>
      <c r="M353" s="15" t="s">
        <v>45</v>
      </c>
      <c r="N353" s="15" t="s">
        <v>237</v>
      </c>
      <c r="O353" s="15" t="str">
        <f>_xlfn.XLOOKUP(N353,players!A:A,players!D:D,"")</f>
        <v>Zach Rollman</v>
      </c>
      <c r="P353" s="15" cm="1">
        <f t="array" ref="P353">_xlfn.XLOOKUP(I353&amp;N353,rosterSpots!B:B&amp;rosterSpots!D:D,rosterSpots!E:E,"")</f>
        <v>13</v>
      </c>
      <c r="Q353" s="15">
        <f xml:space="preserve"> (playerGameStats!$R353 * 2) + (playerGameStats!$S353 * 3) + (playerGameStats!$T353)</f>
        <v>6</v>
      </c>
      <c r="R353" s="15">
        <v>3</v>
      </c>
      <c r="S353" s="15">
        <v>0</v>
      </c>
      <c r="T353" s="15">
        <v>0</v>
      </c>
      <c r="U353" s="18">
        <v>2</v>
      </c>
    </row>
    <row r="354" spans="1:21" x14ac:dyDescent="0.25">
      <c r="A354" s="19" t="s">
        <v>327</v>
      </c>
      <c r="B354" s="20">
        <v>2026</v>
      </c>
      <c r="C354" s="20" t="s">
        <v>36</v>
      </c>
      <c r="D354" s="20">
        <v>5</v>
      </c>
      <c r="E354" s="21">
        <v>46147</v>
      </c>
      <c r="F354" s="22">
        <v>0.85416666666666663</v>
      </c>
      <c r="G354" s="20" t="s">
        <v>18</v>
      </c>
      <c r="H354" s="20" t="s">
        <v>310</v>
      </c>
      <c r="I354" s="20" t="s">
        <v>296</v>
      </c>
      <c r="J354" s="20" t="s">
        <v>15</v>
      </c>
      <c r="K354" s="20" t="s">
        <v>48</v>
      </c>
      <c r="L354" s="20" t="s">
        <v>11</v>
      </c>
      <c r="M354" s="20" t="s">
        <v>45</v>
      </c>
      <c r="N354" s="20" t="s">
        <v>236</v>
      </c>
      <c r="O354" s="20" t="str">
        <f>_xlfn.XLOOKUP(N354,players!A:A,players!D:D,"")</f>
        <v>Jeff Savage</v>
      </c>
      <c r="P354" s="20" cm="1">
        <f t="array" ref="P354">_xlfn.XLOOKUP(I354&amp;N354,rosterSpots!B:B&amp;rosterSpots!D:D,rosterSpots!E:E,"")</f>
        <v>14</v>
      </c>
      <c r="Q354" s="20">
        <f xml:space="preserve"> (playerGameStats!$R354 * 2) + (playerGameStats!$S354 * 3) + (playerGameStats!$T354)</f>
        <v>2</v>
      </c>
      <c r="R354" s="20">
        <v>1</v>
      </c>
      <c r="S354" s="20">
        <v>0</v>
      </c>
      <c r="T354" s="20">
        <v>0</v>
      </c>
      <c r="U354" s="23">
        <v>0</v>
      </c>
    </row>
    <row r="355" spans="1:21" x14ac:dyDescent="0.25">
      <c r="A355" s="14" t="s">
        <v>327</v>
      </c>
      <c r="B355" s="15">
        <v>2026</v>
      </c>
      <c r="C355" s="15" t="s">
        <v>36</v>
      </c>
      <c r="D355" s="15">
        <v>5</v>
      </c>
      <c r="E355" s="16">
        <v>46147</v>
      </c>
      <c r="F355" s="17">
        <v>0.85416666666666663</v>
      </c>
      <c r="G355" s="15" t="s">
        <v>18</v>
      </c>
      <c r="H355" s="15" t="s">
        <v>310</v>
      </c>
      <c r="I355" s="15" t="s">
        <v>296</v>
      </c>
      <c r="J355" s="15" t="s">
        <v>15</v>
      </c>
      <c r="K355" s="15" t="s">
        <v>48</v>
      </c>
      <c r="L355" s="15" t="s">
        <v>11</v>
      </c>
      <c r="M355" s="15" t="s">
        <v>45</v>
      </c>
      <c r="N355" s="15" t="s">
        <v>241</v>
      </c>
      <c r="O355" s="15" t="str">
        <f>_xlfn.XLOOKUP(N355,players!A:A,players!D:D,"")</f>
        <v>Brian Clemens</v>
      </c>
      <c r="P355" s="15" cm="1">
        <f t="array" ref="P355">_xlfn.XLOOKUP(I355&amp;N355,rosterSpots!B:B&amp;rosterSpots!D:D,rosterSpots!E:E,"")</f>
        <v>17</v>
      </c>
      <c r="Q355" s="15">
        <f xml:space="preserve"> (playerGameStats!$R355 * 2) + (playerGameStats!$S355 * 3) + (playerGameStats!$T355)</f>
        <v>0</v>
      </c>
      <c r="R355" s="15">
        <v>0</v>
      </c>
      <c r="S355" s="15">
        <v>0</v>
      </c>
      <c r="T355" s="15">
        <v>0</v>
      </c>
      <c r="U355" s="18">
        <v>0</v>
      </c>
    </row>
    <row r="356" spans="1:21" x14ac:dyDescent="0.25">
      <c r="A356" s="19" t="s">
        <v>327</v>
      </c>
      <c r="B356" s="20">
        <v>2026</v>
      </c>
      <c r="C356" s="20" t="s">
        <v>36</v>
      </c>
      <c r="D356" s="20">
        <v>5</v>
      </c>
      <c r="E356" s="21">
        <v>46147</v>
      </c>
      <c r="F356" s="22">
        <v>0.85416666666666663</v>
      </c>
      <c r="G356" s="20" t="s">
        <v>18</v>
      </c>
      <c r="H356" s="20" t="s">
        <v>310</v>
      </c>
      <c r="I356" s="20" t="s">
        <v>296</v>
      </c>
      <c r="J356" s="20" t="s">
        <v>15</v>
      </c>
      <c r="K356" s="20" t="s">
        <v>48</v>
      </c>
      <c r="L356" s="20" t="s">
        <v>11</v>
      </c>
      <c r="M356" s="20" t="s">
        <v>45</v>
      </c>
      <c r="N356" s="20" t="s">
        <v>242</v>
      </c>
      <c r="O356" s="20" t="str">
        <f>_xlfn.XLOOKUP(N356,players!A:A,players!D:D,"")</f>
        <v>Jordan Wilcox</v>
      </c>
      <c r="P356" s="20" cm="1">
        <f t="array" ref="P356">_xlfn.XLOOKUP(I356&amp;N356,rosterSpots!B:B&amp;rosterSpots!D:D,rosterSpots!E:E,"")</f>
        <v>24</v>
      </c>
      <c r="Q356" s="20">
        <f xml:space="preserve"> (playerGameStats!$R356 * 2) + (playerGameStats!$S356 * 3) + (playerGameStats!$T356)</f>
        <v>9</v>
      </c>
      <c r="R356" s="20">
        <v>4</v>
      </c>
      <c r="S356" s="20">
        <v>0</v>
      </c>
      <c r="T356" s="20">
        <v>1</v>
      </c>
      <c r="U356" s="23">
        <v>4</v>
      </c>
    </row>
    <row r="357" spans="1:21" x14ac:dyDescent="0.25">
      <c r="A357" s="14" t="s">
        <v>327</v>
      </c>
      <c r="B357" s="15">
        <v>2026</v>
      </c>
      <c r="C357" s="15" t="s">
        <v>36</v>
      </c>
      <c r="D357" s="15">
        <v>5</v>
      </c>
      <c r="E357" s="16">
        <v>46147</v>
      </c>
      <c r="F357" s="17">
        <v>0.85416666666666663</v>
      </c>
      <c r="G357" s="15" t="s">
        <v>18</v>
      </c>
      <c r="H357" s="15" t="s">
        <v>310</v>
      </c>
      <c r="I357" s="15" t="s">
        <v>296</v>
      </c>
      <c r="J357" s="15" t="s">
        <v>15</v>
      </c>
      <c r="K357" s="15" t="s">
        <v>48</v>
      </c>
      <c r="L357" s="15" t="s">
        <v>11</v>
      </c>
      <c r="M357" s="15" t="s">
        <v>45</v>
      </c>
      <c r="N357" s="15" t="s">
        <v>239</v>
      </c>
      <c r="O357" s="15" t="str">
        <f>_xlfn.XLOOKUP(N357,players!A:A,players!D:D,"")</f>
        <v>Hakim Jackson</v>
      </c>
      <c r="P357" s="15" cm="1">
        <f t="array" ref="P357">_xlfn.XLOOKUP(I357&amp;N357,rosterSpots!B:B&amp;rosterSpots!D:D,rosterSpots!E:E,"")</f>
        <v>77</v>
      </c>
      <c r="Q357" s="15">
        <f xml:space="preserve"> (playerGameStats!$R357 * 2) + (playerGameStats!$S357 * 3) + (playerGameStats!$T357)</f>
        <v>5</v>
      </c>
      <c r="R357" s="15">
        <v>0</v>
      </c>
      <c r="S357" s="15">
        <v>1</v>
      </c>
      <c r="T357" s="15">
        <v>2</v>
      </c>
      <c r="U357" s="18">
        <v>3</v>
      </c>
    </row>
    <row r="358" spans="1:21" x14ac:dyDescent="0.25">
      <c r="A358" s="19" t="s">
        <v>326</v>
      </c>
      <c r="B358" s="20">
        <v>2026</v>
      </c>
      <c r="C358" s="20" t="s">
        <v>36</v>
      </c>
      <c r="D358" s="20">
        <v>6</v>
      </c>
      <c r="E358" s="21">
        <v>46153</v>
      </c>
      <c r="F358" s="22">
        <v>0.77083333333333337</v>
      </c>
      <c r="G358" s="20" t="s">
        <v>18</v>
      </c>
      <c r="H358" s="20" t="s">
        <v>310</v>
      </c>
      <c r="I358" s="20" t="s">
        <v>301</v>
      </c>
      <c r="J358" s="20" t="s">
        <v>17</v>
      </c>
      <c r="K358" s="20" t="s">
        <v>49</v>
      </c>
      <c r="L358" s="20" t="s">
        <v>13</v>
      </c>
      <c r="M358" s="20" t="s">
        <v>47</v>
      </c>
      <c r="N358" s="20" t="s">
        <v>288</v>
      </c>
      <c r="O358" s="20" t="str">
        <f>_xlfn.XLOOKUP(N358,players!A:A,players!D:D,"")</f>
        <v>Vanardo Banks</v>
      </c>
      <c r="P358" s="20" cm="1">
        <f t="array" ref="P358">_xlfn.XLOOKUP(I358&amp;N358,rosterSpots!B:B&amp;rosterSpots!D:D,rosterSpots!E:E,"")</f>
        <v>10</v>
      </c>
      <c r="Q358" s="20">
        <f xml:space="preserve"> (playerGameStats!$R358 * 2) + (playerGameStats!$S358 * 3) + (playerGameStats!$T358)</f>
        <v>2</v>
      </c>
      <c r="R358" s="20">
        <v>1</v>
      </c>
      <c r="S358" s="20">
        <v>0</v>
      </c>
      <c r="T358" s="20">
        <v>0</v>
      </c>
      <c r="U358" s="23">
        <v>0</v>
      </c>
    </row>
    <row r="359" spans="1:21" x14ac:dyDescent="0.25">
      <c r="A359" s="14" t="s">
        <v>326</v>
      </c>
      <c r="B359" s="15">
        <v>2026</v>
      </c>
      <c r="C359" s="15" t="s">
        <v>36</v>
      </c>
      <c r="D359" s="15">
        <v>6</v>
      </c>
      <c r="E359" s="16">
        <v>46153</v>
      </c>
      <c r="F359" s="17">
        <v>0.77083333333333337</v>
      </c>
      <c r="G359" s="15" t="s">
        <v>18</v>
      </c>
      <c r="H359" s="15" t="s">
        <v>310</v>
      </c>
      <c r="I359" s="15" t="s">
        <v>301</v>
      </c>
      <c r="J359" s="15" t="s">
        <v>17</v>
      </c>
      <c r="K359" s="15" t="s">
        <v>49</v>
      </c>
      <c r="L359" s="15" t="s">
        <v>13</v>
      </c>
      <c r="M359" s="15" t="s">
        <v>47</v>
      </c>
      <c r="N359" s="15" t="s">
        <v>292</v>
      </c>
      <c r="O359" s="15" t="str">
        <f>_xlfn.XLOOKUP(N359,players!A:A,players!D:D,"")</f>
        <v>Junior Peralta</v>
      </c>
      <c r="P359" s="15" cm="1">
        <f t="array" ref="P359">_xlfn.XLOOKUP(I359&amp;N359,rosterSpots!B:B&amp;rosterSpots!D:D,rosterSpots!E:E,"")</f>
        <v>12</v>
      </c>
      <c r="Q359" s="15">
        <f xml:space="preserve"> (playerGameStats!$R359 * 2) + (playerGameStats!$S359 * 3) + (playerGameStats!$T359)</f>
        <v>0</v>
      </c>
      <c r="R359" s="15">
        <v>0</v>
      </c>
      <c r="S359" s="15">
        <v>0</v>
      </c>
      <c r="T359" s="15">
        <v>0</v>
      </c>
      <c r="U359" s="18">
        <v>0</v>
      </c>
    </row>
    <row r="360" spans="1:21" x14ac:dyDescent="0.25">
      <c r="A360" s="19" t="s">
        <v>326</v>
      </c>
      <c r="B360" s="20">
        <v>2026</v>
      </c>
      <c r="C360" s="20" t="s">
        <v>36</v>
      </c>
      <c r="D360" s="20">
        <v>6</v>
      </c>
      <c r="E360" s="21">
        <v>46153</v>
      </c>
      <c r="F360" s="22">
        <v>0.77083333333333337</v>
      </c>
      <c r="G360" s="20" t="s">
        <v>18</v>
      </c>
      <c r="H360" s="20" t="s">
        <v>310</v>
      </c>
      <c r="I360" s="20" t="s">
        <v>301</v>
      </c>
      <c r="J360" s="20" t="s">
        <v>17</v>
      </c>
      <c r="K360" s="20" t="s">
        <v>49</v>
      </c>
      <c r="L360" s="20" t="s">
        <v>13</v>
      </c>
      <c r="M360" s="20" t="s">
        <v>47</v>
      </c>
      <c r="N360" s="20" t="s">
        <v>283</v>
      </c>
      <c r="O360" s="20" t="str">
        <f>_xlfn.XLOOKUP(N360,players!A:A,players!D:D,"")</f>
        <v>Jordan Williams</v>
      </c>
      <c r="P360" s="20" cm="1">
        <f t="array" ref="P360">_xlfn.XLOOKUP(I360&amp;N360,rosterSpots!B:B&amp;rosterSpots!D:D,rosterSpots!E:E,"")</f>
        <v>15</v>
      </c>
      <c r="Q360" s="20">
        <f xml:space="preserve"> (playerGameStats!$R360 * 2) + (playerGameStats!$S360 * 3) + (playerGameStats!$T360)</f>
        <v>7</v>
      </c>
      <c r="R360" s="20">
        <v>1</v>
      </c>
      <c r="S360" s="20">
        <v>1</v>
      </c>
      <c r="T360" s="20">
        <v>2</v>
      </c>
      <c r="U360" s="23">
        <v>6</v>
      </c>
    </row>
    <row r="361" spans="1:21" x14ac:dyDescent="0.25">
      <c r="A361" s="14" t="s">
        <v>326</v>
      </c>
      <c r="B361" s="15">
        <v>2026</v>
      </c>
      <c r="C361" s="15" t="s">
        <v>36</v>
      </c>
      <c r="D361" s="15">
        <v>6</v>
      </c>
      <c r="E361" s="16">
        <v>46153</v>
      </c>
      <c r="F361" s="17">
        <v>0.77083333333333337</v>
      </c>
      <c r="G361" s="15" t="s">
        <v>18</v>
      </c>
      <c r="H361" s="15" t="s">
        <v>310</v>
      </c>
      <c r="I361" s="15" t="s">
        <v>301</v>
      </c>
      <c r="J361" s="15" t="s">
        <v>17</v>
      </c>
      <c r="K361" s="15" t="s">
        <v>49</v>
      </c>
      <c r="L361" s="15" t="s">
        <v>13</v>
      </c>
      <c r="M361" s="15" t="s">
        <v>47</v>
      </c>
      <c r="N361" s="15" t="s">
        <v>291</v>
      </c>
      <c r="O361" s="15" t="str">
        <f>_xlfn.XLOOKUP(N361,players!A:A,players!D:D,"")</f>
        <v>Nkenna Opara</v>
      </c>
      <c r="P361" s="15" cm="1">
        <f t="array" ref="P361">_xlfn.XLOOKUP(I361&amp;N361,rosterSpots!B:B&amp;rosterSpots!D:D,rosterSpots!E:E,"")</f>
        <v>23</v>
      </c>
      <c r="Q361" s="15">
        <f xml:space="preserve"> (playerGameStats!$R361 * 2) + (playerGameStats!$S361 * 3) + (playerGameStats!$T361)</f>
        <v>11</v>
      </c>
      <c r="R361" s="15">
        <v>1</v>
      </c>
      <c r="S361" s="15">
        <v>3</v>
      </c>
      <c r="T361" s="15">
        <v>0</v>
      </c>
      <c r="U361" s="18">
        <v>0</v>
      </c>
    </row>
    <row r="362" spans="1:21" x14ac:dyDescent="0.25">
      <c r="A362" s="19" t="s">
        <v>326</v>
      </c>
      <c r="B362" s="20">
        <v>2026</v>
      </c>
      <c r="C362" s="20" t="s">
        <v>36</v>
      </c>
      <c r="D362" s="20">
        <v>6</v>
      </c>
      <c r="E362" s="21">
        <v>46153</v>
      </c>
      <c r="F362" s="22">
        <v>0.77083333333333337</v>
      </c>
      <c r="G362" s="20" t="s">
        <v>18</v>
      </c>
      <c r="H362" s="20" t="s">
        <v>310</v>
      </c>
      <c r="I362" s="20" t="s">
        <v>297</v>
      </c>
      <c r="J362" s="20" t="s">
        <v>13</v>
      </c>
      <c r="K362" s="20" t="s">
        <v>47</v>
      </c>
      <c r="L362" s="20" t="s">
        <v>17</v>
      </c>
      <c r="M362" s="20" t="s">
        <v>49</v>
      </c>
      <c r="N362" s="20" t="s">
        <v>249</v>
      </c>
      <c r="O362" s="20" t="str">
        <f>_xlfn.XLOOKUP(N362,players!A:A,players!D:D,"")</f>
        <v>Chris Ellis</v>
      </c>
      <c r="P362" s="20" cm="1">
        <f t="array" ref="P362">_xlfn.XLOOKUP(I362&amp;N362,rosterSpots!B:B&amp;rosterSpots!D:D,rosterSpots!E:E,"")</f>
        <v>0</v>
      </c>
      <c r="Q362" s="20">
        <f xml:space="preserve"> (playerGameStats!$R362 * 2) + (playerGameStats!$S362 * 3) + (playerGameStats!$T362)</f>
        <v>13</v>
      </c>
      <c r="R362" s="20">
        <v>5</v>
      </c>
      <c r="S362" s="20">
        <v>1</v>
      </c>
      <c r="T362" s="20">
        <v>0</v>
      </c>
      <c r="U362" s="23">
        <v>0</v>
      </c>
    </row>
    <row r="363" spans="1:21" x14ac:dyDescent="0.25">
      <c r="A363" s="14" t="s">
        <v>326</v>
      </c>
      <c r="B363" s="15">
        <v>2026</v>
      </c>
      <c r="C363" s="15" t="s">
        <v>36</v>
      </c>
      <c r="D363" s="15">
        <v>6</v>
      </c>
      <c r="E363" s="16">
        <v>46153</v>
      </c>
      <c r="F363" s="17">
        <v>0.77083333333333337</v>
      </c>
      <c r="G363" s="15" t="s">
        <v>18</v>
      </c>
      <c r="H363" s="15" t="s">
        <v>310</v>
      </c>
      <c r="I363" s="15" t="s">
        <v>297</v>
      </c>
      <c r="J363" s="15" t="s">
        <v>13</v>
      </c>
      <c r="K363" s="15" t="s">
        <v>47</v>
      </c>
      <c r="L363" s="15" t="s">
        <v>17</v>
      </c>
      <c r="M363" s="15" t="s">
        <v>49</v>
      </c>
      <c r="N363" s="15" t="s">
        <v>248</v>
      </c>
      <c r="O363" s="15" t="str">
        <f>_xlfn.XLOOKUP(N363,players!A:A,players!D:D,"")</f>
        <v>Grant Clark</v>
      </c>
      <c r="P363" s="15" cm="1">
        <f t="array" ref="P363">_xlfn.XLOOKUP(I363&amp;N363,rosterSpots!B:B&amp;rosterSpots!D:D,rosterSpots!E:E,"")</f>
        <v>1</v>
      </c>
      <c r="Q363" s="15">
        <f xml:space="preserve"> (playerGameStats!$R363 * 2) + (playerGameStats!$S363 * 3) + (playerGameStats!$T363)</f>
        <v>12</v>
      </c>
      <c r="R363" s="15">
        <v>3</v>
      </c>
      <c r="S363" s="15">
        <v>2</v>
      </c>
      <c r="T363" s="15">
        <v>0</v>
      </c>
      <c r="U363" s="18">
        <v>0</v>
      </c>
    </row>
    <row r="364" spans="1:21" x14ac:dyDescent="0.25">
      <c r="A364" s="19" t="s">
        <v>326</v>
      </c>
      <c r="B364" s="20">
        <v>2026</v>
      </c>
      <c r="C364" s="20" t="s">
        <v>36</v>
      </c>
      <c r="D364" s="20">
        <v>6</v>
      </c>
      <c r="E364" s="21">
        <v>46153</v>
      </c>
      <c r="F364" s="22">
        <v>0.77083333333333337</v>
      </c>
      <c r="G364" s="20" t="s">
        <v>18</v>
      </c>
      <c r="H364" s="20" t="s">
        <v>310</v>
      </c>
      <c r="I364" s="20" t="s">
        <v>297</v>
      </c>
      <c r="J364" s="20" t="s">
        <v>13</v>
      </c>
      <c r="K364" s="20" t="s">
        <v>47</v>
      </c>
      <c r="L364" s="20" t="s">
        <v>17</v>
      </c>
      <c r="M364" s="20" t="s">
        <v>49</v>
      </c>
      <c r="N364" s="20" t="s">
        <v>252</v>
      </c>
      <c r="O364" s="20" t="str">
        <f>_xlfn.XLOOKUP(N364,players!A:A,players!D:D,"")</f>
        <v>Sean Lane</v>
      </c>
      <c r="P364" s="20" cm="1">
        <f t="array" ref="P364">_xlfn.XLOOKUP(I364&amp;N364,rosterSpots!B:B&amp;rosterSpots!D:D,rosterSpots!E:E,"")</f>
        <v>3</v>
      </c>
      <c r="Q364" s="20">
        <f xml:space="preserve"> (playerGameStats!$R364 * 2) + (playerGameStats!$S364 * 3) + (playerGameStats!$T364)</f>
        <v>18</v>
      </c>
      <c r="R364" s="20">
        <v>3</v>
      </c>
      <c r="S364" s="20">
        <v>4</v>
      </c>
      <c r="T364" s="20">
        <v>0</v>
      </c>
      <c r="U364" s="23">
        <v>0</v>
      </c>
    </row>
    <row r="365" spans="1:21" x14ac:dyDescent="0.25">
      <c r="A365" s="14" t="s">
        <v>326</v>
      </c>
      <c r="B365" s="15">
        <v>2026</v>
      </c>
      <c r="C365" s="15" t="s">
        <v>36</v>
      </c>
      <c r="D365" s="15">
        <v>6</v>
      </c>
      <c r="E365" s="16">
        <v>46153</v>
      </c>
      <c r="F365" s="17">
        <v>0.77083333333333337</v>
      </c>
      <c r="G365" s="15" t="s">
        <v>18</v>
      </c>
      <c r="H365" s="15" t="s">
        <v>310</v>
      </c>
      <c r="I365" s="15" t="s">
        <v>297</v>
      </c>
      <c r="J365" s="15" t="s">
        <v>13</v>
      </c>
      <c r="K365" s="15" t="s">
        <v>47</v>
      </c>
      <c r="L365" s="15" t="s">
        <v>17</v>
      </c>
      <c r="M365" s="15" t="s">
        <v>49</v>
      </c>
      <c r="N365" s="15" t="s">
        <v>247</v>
      </c>
      <c r="O365" s="15" t="str">
        <f>_xlfn.XLOOKUP(N365,players!A:A,players!D:D,"")</f>
        <v>Donte Diggs</v>
      </c>
      <c r="P365" s="15" cm="1">
        <f t="array" ref="P365">_xlfn.XLOOKUP(I365&amp;N365,rosterSpots!B:B&amp;rosterSpots!D:D,rosterSpots!E:E,"")</f>
        <v>21</v>
      </c>
      <c r="Q365" s="15">
        <f xml:space="preserve"> (playerGameStats!$R365 * 2) + (playerGameStats!$S365 * 3) + (playerGameStats!$T365)</f>
        <v>3</v>
      </c>
      <c r="R365" s="15">
        <v>0</v>
      </c>
      <c r="S365" s="15">
        <v>1</v>
      </c>
      <c r="T365" s="15">
        <v>0</v>
      </c>
      <c r="U365" s="18">
        <v>0</v>
      </c>
    </row>
    <row r="366" spans="1:21" x14ac:dyDescent="0.25">
      <c r="A366" s="19" t="s">
        <v>326</v>
      </c>
      <c r="B366" s="20">
        <v>2026</v>
      </c>
      <c r="C366" s="20" t="s">
        <v>36</v>
      </c>
      <c r="D366" s="20">
        <v>6</v>
      </c>
      <c r="E366" s="21">
        <v>46153</v>
      </c>
      <c r="F366" s="22">
        <v>0.77083333333333337</v>
      </c>
      <c r="G366" s="20" t="s">
        <v>18</v>
      </c>
      <c r="H366" s="20" t="s">
        <v>310</v>
      </c>
      <c r="I366" s="20" t="s">
        <v>297</v>
      </c>
      <c r="J366" s="20" t="s">
        <v>13</v>
      </c>
      <c r="K366" s="20" t="s">
        <v>47</v>
      </c>
      <c r="L366" s="20" t="s">
        <v>17</v>
      </c>
      <c r="M366" s="20" t="s">
        <v>49</v>
      </c>
      <c r="N366" s="20" t="s">
        <v>245</v>
      </c>
      <c r="O366" s="20" t="str">
        <f>_xlfn.XLOOKUP(N366,players!A:A,players!D:D,"")</f>
        <v>Deven Cobb</v>
      </c>
      <c r="P366" s="20" cm="1">
        <f t="array" ref="P366">_xlfn.XLOOKUP(I366&amp;N366,rosterSpots!B:B&amp;rosterSpots!D:D,rosterSpots!E:E,"")</f>
        <v>22</v>
      </c>
      <c r="Q366" s="20">
        <f xml:space="preserve"> (playerGameStats!$R366 * 2) + (playerGameStats!$S366 * 3) + (playerGameStats!$T366)</f>
        <v>9</v>
      </c>
      <c r="R366" s="20">
        <v>1</v>
      </c>
      <c r="S366" s="20">
        <v>2</v>
      </c>
      <c r="T366" s="20">
        <v>1</v>
      </c>
      <c r="U366" s="23">
        <v>1</v>
      </c>
    </row>
    <row r="367" spans="1:21" x14ac:dyDescent="0.25">
      <c r="A367" s="14" t="s">
        <v>326</v>
      </c>
      <c r="B367" s="15">
        <v>2026</v>
      </c>
      <c r="C367" s="15" t="s">
        <v>36</v>
      </c>
      <c r="D367" s="15">
        <v>6</v>
      </c>
      <c r="E367" s="16">
        <v>46153</v>
      </c>
      <c r="F367" s="17">
        <v>0.77083333333333337</v>
      </c>
      <c r="G367" s="15" t="s">
        <v>18</v>
      </c>
      <c r="H367" s="15" t="s">
        <v>310</v>
      </c>
      <c r="I367" s="15" t="s">
        <v>297</v>
      </c>
      <c r="J367" s="15" t="s">
        <v>13</v>
      </c>
      <c r="K367" s="15" t="s">
        <v>47</v>
      </c>
      <c r="L367" s="15" t="s">
        <v>17</v>
      </c>
      <c r="M367" s="15" t="s">
        <v>49</v>
      </c>
      <c r="N367" s="15" t="s">
        <v>305</v>
      </c>
      <c r="O367" s="15" t="str">
        <f>_xlfn.XLOOKUP(N367,players!A:A,players!D:D,"")</f>
        <v>Anthony Marone</v>
      </c>
      <c r="P367" s="15" cm="1">
        <f t="array" ref="P367">_xlfn.XLOOKUP(I367&amp;N367,rosterSpots!B:B&amp;rosterSpots!D:D,rosterSpots!E:E,"")</f>
        <v>32</v>
      </c>
      <c r="Q367" s="15">
        <f xml:space="preserve"> (playerGameStats!$R367 * 2) + (playerGameStats!$S367 * 3) + (playerGameStats!$T367)</f>
        <v>16</v>
      </c>
      <c r="R367" s="15">
        <v>5</v>
      </c>
      <c r="S367" s="15">
        <v>2</v>
      </c>
      <c r="T367" s="15">
        <v>0</v>
      </c>
      <c r="U367" s="18">
        <v>3</v>
      </c>
    </row>
    <row r="368" spans="1:21" x14ac:dyDescent="0.25">
      <c r="A368" s="19" t="s">
        <v>325</v>
      </c>
      <c r="B368" s="20">
        <v>2026</v>
      </c>
      <c r="C368" s="20" t="s">
        <v>36</v>
      </c>
      <c r="D368" s="20">
        <v>6</v>
      </c>
      <c r="E368" s="21">
        <v>46153</v>
      </c>
      <c r="F368" s="22">
        <v>0.8125</v>
      </c>
      <c r="G368" s="20" t="s">
        <v>18</v>
      </c>
      <c r="H368" s="20" t="s">
        <v>310</v>
      </c>
      <c r="I368" s="20" t="s">
        <v>300</v>
      </c>
      <c r="J368" s="20" t="s">
        <v>16</v>
      </c>
      <c r="K368" s="20" t="s">
        <v>44</v>
      </c>
      <c r="L368" s="20" t="s">
        <v>10</v>
      </c>
      <c r="M368" s="20" t="s">
        <v>42</v>
      </c>
      <c r="N368" s="20" t="s">
        <v>281</v>
      </c>
      <c r="O368" s="20" t="str">
        <f>_xlfn.XLOOKUP(N368,players!A:A,players!D:D,"")</f>
        <v>Tommy Zheng</v>
      </c>
      <c r="P368" s="20" cm="1">
        <f t="array" ref="P368">_xlfn.XLOOKUP(I368&amp;N368,rosterSpots!B:B&amp;rosterSpots!D:D,rosterSpots!E:E,"")</f>
        <v>5</v>
      </c>
      <c r="Q368" s="20">
        <f xml:space="preserve"> (playerGameStats!$R368 * 2) + (playerGameStats!$S368 * 3) + (playerGameStats!$T368)</f>
        <v>6</v>
      </c>
      <c r="R368" s="20">
        <v>3</v>
      </c>
      <c r="S368" s="20">
        <v>0</v>
      </c>
      <c r="T368" s="20">
        <v>0</v>
      </c>
      <c r="U368" s="23">
        <v>0</v>
      </c>
    </row>
    <row r="369" spans="1:21" x14ac:dyDescent="0.25">
      <c r="A369" s="14" t="s">
        <v>325</v>
      </c>
      <c r="B369" s="15">
        <v>2026</v>
      </c>
      <c r="C369" s="15" t="s">
        <v>36</v>
      </c>
      <c r="D369" s="15">
        <v>6</v>
      </c>
      <c r="E369" s="16">
        <v>46153</v>
      </c>
      <c r="F369" s="17">
        <v>0.8125</v>
      </c>
      <c r="G369" s="15" t="s">
        <v>18</v>
      </c>
      <c r="H369" s="15" t="s">
        <v>310</v>
      </c>
      <c r="I369" s="15" t="s">
        <v>300</v>
      </c>
      <c r="J369" s="15" t="s">
        <v>16</v>
      </c>
      <c r="K369" s="15" t="s">
        <v>44</v>
      </c>
      <c r="L369" s="15" t="s">
        <v>10</v>
      </c>
      <c r="M369" s="15" t="s">
        <v>42</v>
      </c>
      <c r="N369" s="15" t="s">
        <v>275</v>
      </c>
      <c r="O369" s="15" t="str">
        <f>_xlfn.XLOOKUP(N369,players!A:A,players!D:D,"")</f>
        <v>Thomas Hays</v>
      </c>
      <c r="P369" s="15" cm="1">
        <f t="array" ref="P369">_xlfn.XLOOKUP(I369&amp;N369,rosterSpots!B:B&amp;rosterSpots!D:D,rosterSpots!E:E,"")</f>
        <v>8</v>
      </c>
      <c r="Q369" s="15">
        <f xml:space="preserve"> (playerGameStats!$R369 * 2) + (playerGameStats!$S369 * 3) + (playerGameStats!$T369)</f>
        <v>20</v>
      </c>
      <c r="R369" s="15">
        <v>7</v>
      </c>
      <c r="S369" s="15">
        <v>2</v>
      </c>
      <c r="T369" s="15">
        <v>0</v>
      </c>
      <c r="U369" s="18">
        <v>0</v>
      </c>
    </row>
    <row r="370" spans="1:21" x14ac:dyDescent="0.25">
      <c r="A370" s="19" t="s">
        <v>325</v>
      </c>
      <c r="B370" s="20">
        <v>2026</v>
      </c>
      <c r="C370" s="20" t="s">
        <v>36</v>
      </c>
      <c r="D370" s="20">
        <v>6</v>
      </c>
      <c r="E370" s="21">
        <v>46153</v>
      </c>
      <c r="F370" s="22">
        <v>0.8125</v>
      </c>
      <c r="G370" s="20" t="s">
        <v>18</v>
      </c>
      <c r="H370" s="20" t="s">
        <v>310</v>
      </c>
      <c r="I370" s="20" t="s">
        <v>300</v>
      </c>
      <c r="J370" s="20" t="s">
        <v>16</v>
      </c>
      <c r="K370" s="20" t="s">
        <v>44</v>
      </c>
      <c r="L370" s="20" t="s">
        <v>10</v>
      </c>
      <c r="M370" s="20" t="s">
        <v>42</v>
      </c>
      <c r="N370" s="20" t="s">
        <v>278</v>
      </c>
      <c r="O370" s="20" t="str">
        <f>_xlfn.XLOOKUP(N370,players!A:A,players!D:D,"")</f>
        <v>Douglas Alexander</v>
      </c>
      <c r="P370" s="20" cm="1">
        <f t="array" ref="P370">_xlfn.XLOOKUP(I370&amp;N370,rosterSpots!B:B&amp;rosterSpots!D:D,rosterSpots!E:E,"")</f>
        <v>10</v>
      </c>
      <c r="Q370" s="20">
        <f xml:space="preserve"> (playerGameStats!$R370 * 2) + (playerGameStats!$S370 * 3) + (playerGameStats!$T370)</f>
        <v>4</v>
      </c>
      <c r="R370" s="20">
        <v>2</v>
      </c>
      <c r="S370" s="20">
        <v>0</v>
      </c>
      <c r="T370" s="20">
        <v>0</v>
      </c>
      <c r="U370" s="23">
        <v>0</v>
      </c>
    </row>
    <row r="371" spans="1:21" x14ac:dyDescent="0.25">
      <c r="A371" s="14" t="s">
        <v>325</v>
      </c>
      <c r="B371" s="15">
        <v>2026</v>
      </c>
      <c r="C371" s="15" t="s">
        <v>36</v>
      </c>
      <c r="D371" s="15">
        <v>6</v>
      </c>
      <c r="E371" s="16">
        <v>46153</v>
      </c>
      <c r="F371" s="17">
        <v>0.8125</v>
      </c>
      <c r="G371" s="15" t="s">
        <v>18</v>
      </c>
      <c r="H371" s="15" t="s">
        <v>310</v>
      </c>
      <c r="I371" s="15" t="s">
        <v>300</v>
      </c>
      <c r="J371" s="15" t="s">
        <v>16</v>
      </c>
      <c r="K371" s="15" t="s">
        <v>44</v>
      </c>
      <c r="L371" s="15" t="s">
        <v>10</v>
      </c>
      <c r="M371" s="15" t="s">
        <v>42</v>
      </c>
      <c r="N371" s="15" t="s">
        <v>273</v>
      </c>
      <c r="O371" s="15" t="str">
        <f>_xlfn.XLOOKUP(N371,players!A:A,players!D:D,"")</f>
        <v>Travis Gibbs</v>
      </c>
      <c r="P371" s="15" cm="1">
        <f t="array" ref="P371">_xlfn.XLOOKUP(I371&amp;N371,rosterSpots!B:B&amp;rosterSpots!D:D,rosterSpots!E:E,"")</f>
        <v>11</v>
      </c>
      <c r="Q371" s="15">
        <f xml:space="preserve"> (playerGameStats!$R371 * 2) + (playerGameStats!$S371 * 3) + (playerGameStats!$T371)</f>
        <v>8</v>
      </c>
      <c r="R371" s="15">
        <v>1</v>
      </c>
      <c r="S371" s="15">
        <v>2</v>
      </c>
      <c r="T371" s="15">
        <v>0</v>
      </c>
      <c r="U371" s="18">
        <v>0</v>
      </c>
    </row>
    <row r="372" spans="1:21" x14ac:dyDescent="0.25">
      <c r="A372" s="19" t="s">
        <v>325</v>
      </c>
      <c r="B372" s="20">
        <v>2026</v>
      </c>
      <c r="C372" s="20" t="s">
        <v>36</v>
      </c>
      <c r="D372" s="20">
        <v>6</v>
      </c>
      <c r="E372" s="21">
        <v>46153</v>
      </c>
      <c r="F372" s="22">
        <v>0.8125</v>
      </c>
      <c r="G372" s="20" t="s">
        <v>18</v>
      </c>
      <c r="H372" s="20" t="s">
        <v>310</v>
      </c>
      <c r="I372" s="20" t="s">
        <v>300</v>
      </c>
      <c r="J372" s="20" t="s">
        <v>16</v>
      </c>
      <c r="K372" s="20" t="s">
        <v>44</v>
      </c>
      <c r="L372" s="20" t="s">
        <v>10</v>
      </c>
      <c r="M372" s="20" t="s">
        <v>42</v>
      </c>
      <c r="N372" s="20" t="s">
        <v>274</v>
      </c>
      <c r="O372" s="20" t="str">
        <f>_xlfn.XLOOKUP(N372,players!A:A,players!D:D,"")</f>
        <v>David Hays</v>
      </c>
      <c r="P372" s="20" cm="1">
        <f t="array" ref="P372">_xlfn.XLOOKUP(I372&amp;N372,rosterSpots!B:B&amp;rosterSpots!D:D,rosterSpots!E:E,"")</f>
        <v>17</v>
      </c>
      <c r="Q372" s="20">
        <f xml:space="preserve"> (playerGameStats!$R372 * 2) + (playerGameStats!$S372 * 3) + (playerGameStats!$T372)</f>
        <v>0</v>
      </c>
      <c r="R372" s="20">
        <v>0</v>
      </c>
      <c r="S372" s="20">
        <v>0</v>
      </c>
      <c r="T372" s="20">
        <v>0</v>
      </c>
      <c r="U372" s="23">
        <v>0</v>
      </c>
    </row>
    <row r="373" spans="1:21" x14ac:dyDescent="0.25">
      <c r="A373" s="14" t="s">
        <v>325</v>
      </c>
      <c r="B373" s="15">
        <v>2026</v>
      </c>
      <c r="C373" s="15" t="s">
        <v>36</v>
      </c>
      <c r="D373" s="15">
        <v>6</v>
      </c>
      <c r="E373" s="16">
        <v>46153</v>
      </c>
      <c r="F373" s="17">
        <v>0.8125</v>
      </c>
      <c r="G373" s="15" t="s">
        <v>18</v>
      </c>
      <c r="H373" s="15" t="s">
        <v>310</v>
      </c>
      <c r="I373" s="15" t="s">
        <v>300</v>
      </c>
      <c r="J373" s="15" t="s">
        <v>16</v>
      </c>
      <c r="K373" s="15" t="s">
        <v>44</v>
      </c>
      <c r="L373" s="15" t="s">
        <v>10</v>
      </c>
      <c r="M373" s="15" t="s">
        <v>42</v>
      </c>
      <c r="N373" s="15" t="s">
        <v>280</v>
      </c>
      <c r="O373" s="15" t="str">
        <f>_xlfn.XLOOKUP(N373,players!A:A,players!D:D,"")</f>
        <v>Russel Verceles</v>
      </c>
      <c r="P373" s="15" cm="1">
        <f t="array" ref="P373">_xlfn.XLOOKUP(I373&amp;N373,rosterSpots!B:B&amp;rosterSpots!D:D,rosterSpots!E:E,"")</f>
        <v>32</v>
      </c>
      <c r="Q373" s="15">
        <f xml:space="preserve"> (playerGameStats!$R373 * 2) + (playerGameStats!$S373 * 3) + (playerGameStats!$T373)</f>
        <v>10</v>
      </c>
      <c r="R373" s="15">
        <v>5</v>
      </c>
      <c r="S373" s="15">
        <v>0</v>
      </c>
      <c r="T373" s="15">
        <v>0</v>
      </c>
      <c r="U373" s="18">
        <v>0</v>
      </c>
    </row>
    <row r="374" spans="1:21" x14ac:dyDescent="0.25">
      <c r="A374" s="19" t="s">
        <v>325</v>
      </c>
      <c r="B374" s="20">
        <v>2026</v>
      </c>
      <c r="C374" s="20" t="s">
        <v>36</v>
      </c>
      <c r="D374" s="20">
        <v>6</v>
      </c>
      <c r="E374" s="21">
        <v>46153</v>
      </c>
      <c r="F374" s="22">
        <v>0.8125</v>
      </c>
      <c r="G374" s="20" t="s">
        <v>18</v>
      </c>
      <c r="H374" s="20" t="s">
        <v>310</v>
      </c>
      <c r="I374" s="20" t="s">
        <v>294</v>
      </c>
      <c r="J374" s="20" t="s">
        <v>10</v>
      </c>
      <c r="K374" s="20" t="s">
        <v>42</v>
      </c>
      <c r="L374" s="20" t="s">
        <v>16</v>
      </c>
      <c r="M374" s="20" t="s">
        <v>44</v>
      </c>
      <c r="N374" s="20" t="s">
        <v>216</v>
      </c>
      <c r="O374" s="20" t="str">
        <f>_xlfn.XLOOKUP(N374,players!A:A,players!D:D,"")</f>
        <v>Ryan Ricciardelli</v>
      </c>
      <c r="P374" s="20" cm="1">
        <f t="array" ref="P374">_xlfn.XLOOKUP(I374&amp;N374,rosterSpots!B:B&amp;rosterSpots!D:D,rosterSpots!E:E,"")</f>
        <v>2</v>
      </c>
      <c r="Q374" s="20">
        <f xml:space="preserve"> (playerGameStats!$R374 * 2) + (playerGameStats!$S374 * 3) + (playerGameStats!$T374)</f>
        <v>15</v>
      </c>
      <c r="R374" s="20">
        <v>6</v>
      </c>
      <c r="S374" s="20">
        <v>1</v>
      </c>
      <c r="T374" s="20">
        <v>0</v>
      </c>
      <c r="U374" s="23">
        <v>0</v>
      </c>
    </row>
    <row r="375" spans="1:21" x14ac:dyDescent="0.25">
      <c r="A375" s="14" t="s">
        <v>325</v>
      </c>
      <c r="B375" s="15">
        <v>2026</v>
      </c>
      <c r="C375" s="15" t="s">
        <v>36</v>
      </c>
      <c r="D375" s="15">
        <v>6</v>
      </c>
      <c r="E375" s="16">
        <v>46153</v>
      </c>
      <c r="F375" s="17">
        <v>0.8125</v>
      </c>
      <c r="G375" s="15" t="s">
        <v>18</v>
      </c>
      <c r="H375" s="15" t="s">
        <v>310</v>
      </c>
      <c r="I375" s="15" t="s">
        <v>294</v>
      </c>
      <c r="J375" s="15" t="s">
        <v>10</v>
      </c>
      <c r="K375" s="15" t="s">
        <v>42</v>
      </c>
      <c r="L375" s="15" t="s">
        <v>16</v>
      </c>
      <c r="M375" s="15" t="s">
        <v>44</v>
      </c>
      <c r="N375" s="15" t="s">
        <v>221</v>
      </c>
      <c r="O375" s="15" t="str">
        <f>_xlfn.XLOOKUP(N375,players!A:A,players!D:D,"")</f>
        <v>Dom Sepko</v>
      </c>
      <c r="P375" s="15" cm="1">
        <f t="array" ref="P375">_xlfn.XLOOKUP(I375&amp;N375,rosterSpots!B:B&amp;rosterSpots!D:D,rosterSpots!E:E,"")</f>
        <v>3</v>
      </c>
      <c r="Q375" s="15">
        <f xml:space="preserve"> (playerGameStats!$R375 * 2) + (playerGameStats!$S375 * 3) + (playerGameStats!$T375)</f>
        <v>14</v>
      </c>
      <c r="R375" s="15">
        <v>7</v>
      </c>
      <c r="S375" s="15">
        <v>0</v>
      </c>
      <c r="T375" s="15">
        <v>0</v>
      </c>
      <c r="U375" s="18">
        <v>0</v>
      </c>
    </row>
    <row r="376" spans="1:21" x14ac:dyDescent="0.25">
      <c r="A376" s="19" t="s">
        <v>325</v>
      </c>
      <c r="B376" s="20">
        <v>2026</v>
      </c>
      <c r="C376" s="20" t="s">
        <v>36</v>
      </c>
      <c r="D376" s="20">
        <v>6</v>
      </c>
      <c r="E376" s="21">
        <v>46153</v>
      </c>
      <c r="F376" s="22">
        <v>0.8125</v>
      </c>
      <c r="G376" s="20" t="s">
        <v>18</v>
      </c>
      <c r="H376" s="20" t="s">
        <v>310</v>
      </c>
      <c r="I376" s="20" t="s">
        <v>294</v>
      </c>
      <c r="J376" s="20" t="s">
        <v>10</v>
      </c>
      <c r="K376" s="20" t="s">
        <v>42</v>
      </c>
      <c r="L376" s="20" t="s">
        <v>16</v>
      </c>
      <c r="M376" s="20" t="s">
        <v>44</v>
      </c>
      <c r="N376" s="20" t="s">
        <v>223</v>
      </c>
      <c r="O376" s="20" t="str">
        <f>_xlfn.XLOOKUP(N376,players!A:A,players!D:D,"")</f>
        <v>Clayton Kunzweiler</v>
      </c>
      <c r="P376" s="20" cm="1">
        <f t="array" ref="P376">_xlfn.XLOOKUP(I376&amp;N376,rosterSpots!B:B&amp;rosterSpots!D:D,rosterSpots!E:E,"")</f>
        <v>13</v>
      </c>
      <c r="Q376" s="20">
        <f xml:space="preserve"> (playerGameStats!$R376 * 2) + (playerGameStats!$S376 * 3) + (playerGameStats!$T376)</f>
        <v>22</v>
      </c>
      <c r="R376" s="20">
        <v>5</v>
      </c>
      <c r="S376" s="20">
        <v>4</v>
      </c>
      <c r="T376" s="20">
        <v>0</v>
      </c>
      <c r="U376" s="23">
        <v>0</v>
      </c>
    </row>
    <row r="377" spans="1:21" x14ac:dyDescent="0.25">
      <c r="A377" s="14" t="s">
        <v>325</v>
      </c>
      <c r="B377" s="15">
        <v>2026</v>
      </c>
      <c r="C377" s="15" t="s">
        <v>36</v>
      </c>
      <c r="D377" s="15">
        <v>6</v>
      </c>
      <c r="E377" s="16">
        <v>46153</v>
      </c>
      <c r="F377" s="17">
        <v>0.8125</v>
      </c>
      <c r="G377" s="15" t="s">
        <v>18</v>
      </c>
      <c r="H377" s="15" t="s">
        <v>310</v>
      </c>
      <c r="I377" s="15" t="s">
        <v>294</v>
      </c>
      <c r="J377" s="15" t="s">
        <v>10</v>
      </c>
      <c r="K377" s="15" t="s">
        <v>42</v>
      </c>
      <c r="L377" s="15" t="s">
        <v>16</v>
      </c>
      <c r="M377" s="15" t="s">
        <v>44</v>
      </c>
      <c r="N377" s="15" t="s">
        <v>224</v>
      </c>
      <c r="O377" s="15" t="str">
        <f>_xlfn.XLOOKUP(N377,players!A:A,players!D:D,"")</f>
        <v>MJ Pierre</v>
      </c>
      <c r="P377" s="15" cm="1">
        <f t="array" ref="P377">_xlfn.XLOOKUP(I377&amp;N377,rosterSpots!B:B&amp;rosterSpots!D:D,rosterSpots!E:E,"")</f>
        <v>24</v>
      </c>
      <c r="Q377" s="15">
        <f xml:space="preserve"> (playerGameStats!$R377 * 2) + (playerGameStats!$S377 * 3) + (playerGameStats!$T377)</f>
        <v>8</v>
      </c>
      <c r="R377" s="15">
        <v>4</v>
      </c>
      <c r="S377" s="15">
        <v>0</v>
      </c>
      <c r="T377" s="15">
        <v>0</v>
      </c>
      <c r="U377" s="18">
        <v>0</v>
      </c>
    </row>
    <row r="378" spans="1:21" x14ac:dyDescent="0.25">
      <c r="A378" s="19" t="s">
        <v>325</v>
      </c>
      <c r="B378" s="20">
        <v>2026</v>
      </c>
      <c r="C378" s="20" t="s">
        <v>36</v>
      </c>
      <c r="D378" s="20">
        <v>6</v>
      </c>
      <c r="E378" s="21">
        <v>46153</v>
      </c>
      <c r="F378" s="22">
        <v>0.8125</v>
      </c>
      <c r="G378" s="20" t="s">
        <v>18</v>
      </c>
      <c r="H378" s="20" t="s">
        <v>310</v>
      </c>
      <c r="I378" s="20" t="s">
        <v>294</v>
      </c>
      <c r="J378" s="20" t="s">
        <v>10</v>
      </c>
      <c r="K378" s="20" t="s">
        <v>42</v>
      </c>
      <c r="L378" s="20" t="s">
        <v>16</v>
      </c>
      <c r="M378" s="20" t="s">
        <v>44</v>
      </c>
      <c r="N378" s="20" t="s">
        <v>217</v>
      </c>
      <c r="O378" s="20" t="str">
        <f>_xlfn.XLOOKUP(N378,players!A:A,players!D:D,"")</f>
        <v>Sean Denson</v>
      </c>
      <c r="P378" s="20" cm="1">
        <f t="array" ref="P378">_xlfn.XLOOKUP(I378&amp;N378,rosterSpots!B:B&amp;rosterSpots!D:D,rosterSpots!E:E,"")</f>
        <v>33</v>
      </c>
      <c r="Q378" s="20">
        <f xml:space="preserve"> (playerGameStats!$R378 * 2) + (playerGameStats!$S378 * 3) + (playerGameStats!$T378)</f>
        <v>17</v>
      </c>
      <c r="R378" s="20">
        <v>1</v>
      </c>
      <c r="S378" s="20">
        <v>5</v>
      </c>
      <c r="T378" s="20">
        <v>0</v>
      </c>
      <c r="U378" s="23">
        <v>0</v>
      </c>
    </row>
    <row r="379" spans="1:21" x14ac:dyDescent="0.25">
      <c r="A379" s="14" t="s">
        <v>324</v>
      </c>
      <c r="B379" s="15">
        <v>2026</v>
      </c>
      <c r="C379" s="15" t="s">
        <v>36</v>
      </c>
      <c r="D379" s="15">
        <v>6</v>
      </c>
      <c r="E379" s="16">
        <v>46154</v>
      </c>
      <c r="F379" s="17">
        <v>0.77083333333333337</v>
      </c>
      <c r="G379" s="15" t="s">
        <v>18</v>
      </c>
      <c r="H379" s="15" t="s">
        <v>310</v>
      </c>
      <c r="I379" s="15" t="s">
        <v>295</v>
      </c>
      <c r="J379" s="15" t="s">
        <v>11</v>
      </c>
      <c r="K379" s="15" t="s">
        <v>45</v>
      </c>
      <c r="L379" s="15" t="s">
        <v>14</v>
      </c>
      <c r="M379" s="15" t="s">
        <v>43</v>
      </c>
      <c r="N379" s="15" t="s">
        <v>227</v>
      </c>
      <c r="O379" s="15" t="str">
        <f>_xlfn.XLOOKUP(N379,players!A:A,players!D:D,"")</f>
        <v>Dave Homsher</v>
      </c>
      <c r="P379" s="15" cm="1">
        <f t="array" ref="P379">_xlfn.XLOOKUP(I379&amp;N379,rosterSpots!B:B&amp;rosterSpots!D:D,rosterSpots!E:E,"")</f>
        <v>3</v>
      </c>
      <c r="Q379" s="15">
        <f xml:space="preserve"> (playerGameStats!$R379 * 2) + (playerGameStats!$S379 * 3) + (playerGameStats!$T379)</f>
        <v>24</v>
      </c>
      <c r="R379" s="15">
        <v>3</v>
      </c>
      <c r="S379" s="15">
        <v>4</v>
      </c>
      <c r="T379" s="15">
        <v>6</v>
      </c>
      <c r="U379" s="18">
        <v>6</v>
      </c>
    </row>
    <row r="380" spans="1:21" x14ac:dyDescent="0.25">
      <c r="A380" s="19" t="s">
        <v>324</v>
      </c>
      <c r="B380" s="20">
        <v>2026</v>
      </c>
      <c r="C380" s="20" t="s">
        <v>36</v>
      </c>
      <c r="D380" s="20">
        <v>6</v>
      </c>
      <c r="E380" s="21">
        <v>46154</v>
      </c>
      <c r="F380" s="22">
        <v>0.77083333333333337</v>
      </c>
      <c r="G380" s="20" t="s">
        <v>18</v>
      </c>
      <c r="H380" s="20" t="s">
        <v>310</v>
      </c>
      <c r="I380" s="20" t="s">
        <v>295</v>
      </c>
      <c r="J380" s="20" t="s">
        <v>11</v>
      </c>
      <c r="K380" s="20" t="s">
        <v>45</v>
      </c>
      <c r="L380" s="20" t="s">
        <v>14</v>
      </c>
      <c r="M380" s="20" t="s">
        <v>43</v>
      </c>
      <c r="N380" s="20" t="s">
        <v>230</v>
      </c>
      <c r="O380" s="20" t="str">
        <f>_xlfn.XLOOKUP(N380,players!A:A,players!D:D,"")</f>
        <v>Angel Carrion</v>
      </c>
      <c r="P380" s="20" cm="1">
        <f t="array" ref="P380">_xlfn.XLOOKUP(I380&amp;N380,rosterSpots!B:B&amp;rosterSpots!D:D,rosterSpots!E:E,"")</f>
        <v>7</v>
      </c>
      <c r="Q380" s="20">
        <f xml:space="preserve"> (playerGameStats!$R380 * 2) + (playerGameStats!$S380 * 3) + (playerGameStats!$T380)</f>
        <v>3</v>
      </c>
      <c r="R380" s="20">
        <v>0</v>
      </c>
      <c r="S380" s="20">
        <v>1</v>
      </c>
      <c r="T380" s="20">
        <v>0</v>
      </c>
      <c r="U380" s="23">
        <v>0</v>
      </c>
    </row>
    <row r="381" spans="1:21" x14ac:dyDescent="0.25">
      <c r="A381" s="14" t="s">
        <v>324</v>
      </c>
      <c r="B381" s="15">
        <v>2026</v>
      </c>
      <c r="C381" s="15" t="s">
        <v>36</v>
      </c>
      <c r="D381" s="15">
        <v>6</v>
      </c>
      <c r="E381" s="16">
        <v>46154</v>
      </c>
      <c r="F381" s="17">
        <v>0.77083333333333337</v>
      </c>
      <c r="G381" s="15" t="s">
        <v>18</v>
      </c>
      <c r="H381" s="15" t="s">
        <v>310</v>
      </c>
      <c r="I381" s="15" t="s">
        <v>295</v>
      </c>
      <c r="J381" s="15" t="s">
        <v>11</v>
      </c>
      <c r="K381" s="15" t="s">
        <v>45</v>
      </c>
      <c r="L381" s="15" t="s">
        <v>14</v>
      </c>
      <c r="M381" s="15" t="s">
        <v>43</v>
      </c>
      <c r="N381" s="15" t="s">
        <v>234</v>
      </c>
      <c r="O381" s="15" t="str">
        <f>_xlfn.XLOOKUP(N381,players!A:A,players!D:D,"")</f>
        <v>Brendan Scott</v>
      </c>
      <c r="P381" s="15" cm="1">
        <f t="array" ref="P381">_xlfn.XLOOKUP(I381&amp;N381,rosterSpots!B:B&amp;rosterSpots!D:D,rosterSpots!E:E,"")</f>
        <v>11</v>
      </c>
      <c r="Q381" s="15">
        <f xml:space="preserve"> (playerGameStats!$R381 * 2) + (playerGameStats!$S381 * 3) + (playerGameStats!$T381)</f>
        <v>8</v>
      </c>
      <c r="R381" s="15">
        <v>4</v>
      </c>
      <c r="S381" s="15">
        <v>0</v>
      </c>
      <c r="T381" s="15">
        <v>0</v>
      </c>
      <c r="U381" s="18">
        <v>0</v>
      </c>
    </row>
    <row r="382" spans="1:21" x14ac:dyDescent="0.25">
      <c r="A382" s="19" t="s">
        <v>324</v>
      </c>
      <c r="B382" s="20">
        <v>2026</v>
      </c>
      <c r="C382" s="20" t="s">
        <v>36</v>
      </c>
      <c r="D382" s="20">
        <v>6</v>
      </c>
      <c r="E382" s="21">
        <v>46154</v>
      </c>
      <c r="F382" s="22">
        <v>0.77083333333333337</v>
      </c>
      <c r="G382" s="20" t="s">
        <v>18</v>
      </c>
      <c r="H382" s="20" t="s">
        <v>310</v>
      </c>
      <c r="I382" s="20" t="s">
        <v>295</v>
      </c>
      <c r="J382" s="20" t="s">
        <v>11</v>
      </c>
      <c r="K382" s="20" t="s">
        <v>45</v>
      </c>
      <c r="L382" s="20" t="s">
        <v>14</v>
      </c>
      <c r="M382" s="20" t="s">
        <v>43</v>
      </c>
      <c r="N382" s="20" t="s">
        <v>228</v>
      </c>
      <c r="O382" s="20" t="str">
        <f>_xlfn.XLOOKUP(N382,players!A:A,players!D:D,"")</f>
        <v>Scott Brusseler</v>
      </c>
      <c r="P382" s="20" cm="1">
        <f t="array" ref="P382">_xlfn.XLOOKUP(I382&amp;N382,rosterSpots!B:B&amp;rosterSpots!D:D,rosterSpots!E:E,"")</f>
        <v>14</v>
      </c>
      <c r="Q382" s="20">
        <f xml:space="preserve"> (playerGameStats!$R382 * 2) + (playerGameStats!$S382 * 3) + (playerGameStats!$T382)</f>
        <v>10</v>
      </c>
      <c r="R382" s="20">
        <v>2</v>
      </c>
      <c r="S382" s="20">
        <v>0</v>
      </c>
      <c r="T382" s="20">
        <v>6</v>
      </c>
      <c r="U382" s="23">
        <v>7</v>
      </c>
    </row>
    <row r="383" spans="1:21" x14ac:dyDescent="0.25">
      <c r="A383" s="14" t="s">
        <v>324</v>
      </c>
      <c r="B383" s="15">
        <v>2026</v>
      </c>
      <c r="C383" s="15" t="s">
        <v>36</v>
      </c>
      <c r="D383" s="15">
        <v>6</v>
      </c>
      <c r="E383" s="16">
        <v>46154</v>
      </c>
      <c r="F383" s="17">
        <v>0.77083333333333337</v>
      </c>
      <c r="G383" s="15" t="s">
        <v>18</v>
      </c>
      <c r="H383" s="15" t="s">
        <v>310</v>
      </c>
      <c r="I383" s="15" t="s">
        <v>295</v>
      </c>
      <c r="J383" s="15" t="s">
        <v>11</v>
      </c>
      <c r="K383" s="15" t="s">
        <v>45</v>
      </c>
      <c r="L383" s="15" t="s">
        <v>14</v>
      </c>
      <c r="M383" s="15" t="s">
        <v>43</v>
      </c>
      <c r="N383" s="15" t="s">
        <v>225</v>
      </c>
      <c r="O383" s="15" t="str">
        <f>_xlfn.XLOOKUP(N383,players!A:A,players!D:D,"")</f>
        <v>Chris Clemente</v>
      </c>
      <c r="P383" s="15" cm="1">
        <f t="array" ref="P383">_xlfn.XLOOKUP(I383&amp;N383,rosterSpots!B:B&amp;rosterSpots!D:D,rosterSpots!E:E,"")</f>
        <v>21</v>
      </c>
      <c r="Q383" s="15">
        <f xml:space="preserve"> (playerGameStats!$R383 * 2) + (playerGameStats!$S383 * 3) + (playerGameStats!$T383)</f>
        <v>14</v>
      </c>
      <c r="R383" s="15">
        <v>0</v>
      </c>
      <c r="S383" s="15">
        <v>4</v>
      </c>
      <c r="T383" s="15">
        <v>2</v>
      </c>
      <c r="U383" s="18">
        <v>2</v>
      </c>
    </row>
    <row r="384" spans="1:21" x14ac:dyDescent="0.25">
      <c r="A384" s="14" t="s">
        <v>324</v>
      </c>
      <c r="B384" s="15">
        <v>2026</v>
      </c>
      <c r="C384" s="15" t="s">
        <v>36</v>
      </c>
      <c r="D384" s="15">
        <v>6</v>
      </c>
      <c r="E384" s="16">
        <v>46154</v>
      </c>
      <c r="F384" s="17">
        <v>0.77083333333333337</v>
      </c>
      <c r="G384" s="15" t="s">
        <v>18</v>
      </c>
      <c r="H384" s="15" t="s">
        <v>310</v>
      </c>
      <c r="I384" s="15" t="s">
        <v>295</v>
      </c>
      <c r="J384" s="15" t="s">
        <v>11</v>
      </c>
      <c r="K384" s="15" t="s">
        <v>45</v>
      </c>
      <c r="L384" s="15" t="s">
        <v>14</v>
      </c>
      <c r="M384" s="15" t="s">
        <v>43</v>
      </c>
      <c r="N384" s="15" t="s">
        <v>229</v>
      </c>
      <c r="O384" s="15" t="str">
        <f>_xlfn.XLOOKUP(N384,players!A:A,players!D:D,"")</f>
        <v>Anthony Shelepets</v>
      </c>
      <c r="P384" s="15" cm="1">
        <f t="array" ref="P384">_xlfn.XLOOKUP(I384&amp;N384,rosterSpots!B:B&amp;rosterSpots!D:D,rosterSpots!E:E,"")</f>
        <v>53</v>
      </c>
      <c r="Q384" s="15">
        <f xml:space="preserve"> (playerGameStats!$R384 * 2) + (playerGameStats!$S384 * 3) + (playerGameStats!$T384)</f>
        <v>8</v>
      </c>
      <c r="R384" s="15">
        <v>4</v>
      </c>
      <c r="S384" s="15">
        <v>0</v>
      </c>
      <c r="T384" s="15">
        <v>0</v>
      </c>
      <c r="U384" s="18">
        <v>0</v>
      </c>
    </row>
    <row r="385" spans="1:21" x14ac:dyDescent="0.25">
      <c r="A385" s="19" t="s">
        <v>324</v>
      </c>
      <c r="B385" s="20">
        <v>2026</v>
      </c>
      <c r="C385" s="20" t="s">
        <v>36</v>
      </c>
      <c r="D385" s="20">
        <v>6</v>
      </c>
      <c r="E385" s="21">
        <v>46154</v>
      </c>
      <c r="F385" s="22">
        <v>0.77083333333333337</v>
      </c>
      <c r="G385" s="20" t="s">
        <v>18</v>
      </c>
      <c r="H385" s="20" t="s">
        <v>310</v>
      </c>
      <c r="I385" s="20" t="s">
        <v>299</v>
      </c>
      <c r="J385" s="20" t="s">
        <v>14</v>
      </c>
      <c r="K385" s="20" t="s">
        <v>43</v>
      </c>
      <c r="L385" s="20" t="s">
        <v>11</v>
      </c>
      <c r="M385" s="20" t="s">
        <v>45</v>
      </c>
      <c r="N385" s="20" t="s">
        <v>271</v>
      </c>
      <c r="O385" s="20" t="str">
        <f>_xlfn.XLOOKUP(N385,players!A:A,players!D:D,"")</f>
        <v>Courtney Cubbage</v>
      </c>
      <c r="P385" s="20" cm="1">
        <f t="array" ref="P385">_xlfn.XLOOKUP(I385&amp;N385,rosterSpots!B:B&amp;rosterSpots!D:D,rosterSpots!E:E,"")</f>
        <v>1</v>
      </c>
      <c r="Q385" s="20">
        <f xml:space="preserve"> (playerGameStats!$R385 * 2) + (playerGameStats!$S385 * 3) + (playerGameStats!$T385)</f>
        <v>24</v>
      </c>
      <c r="R385" s="20">
        <v>9</v>
      </c>
      <c r="S385" s="20">
        <v>1</v>
      </c>
      <c r="T385" s="20">
        <v>3</v>
      </c>
      <c r="U385" s="23">
        <v>6</v>
      </c>
    </row>
    <row r="386" spans="1:21" x14ac:dyDescent="0.25">
      <c r="A386" s="14" t="s">
        <v>324</v>
      </c>
      <c r="B386" s="15">
        <v>2026</v>
      </c>
      <c r="C386" s="15" t="s">
        <v>36</v>
      </c>
      <c r="D386" s="15">
        <v>6</v>
      </c>
      <c r="E386" s="16">
        <v>46154</v>
      </c>
      <c r="F386" s="17">
        <v>0.77083333333333337</v>
      </c>
      <c r="G386" s="15" t="s">
        <v>18</v>
      </c>
      <c r="H386" s="15" t="s">
        <v>310</v>
      </c>
      <c r="I386" s="15" t="s">
        <v>299</v>
      </c>
      <c r="J386" s="15" t="s">
        <v>14</v>
      </c>
      <c r="K386" s="15" t="s">
        <v>43</v>
      </c>
      <c r="L386" s="15" t="s">
        <v>11</v>
      </c>
      <c r="M386" s="15" t="s">
        <v>45</v>
      </c>
      <c r="N386" s="15" t="s">
        <v>268</v>
      </c>
      <c r="O386" s="15" t="str">
        <f>_xlfn.XLOOKUP(N386,players!A:A,players!D:D,"")</f>
        <v>Bassang Atoulelou</v>
      </c>
      <c r="P386" s="15" cm="1">
        <f t="array" ref="P386">_xlfn.XLOOKUP(I386&amp;N386,rosterSpots!B:B&amp;rosterSpots!D:D,rosterSpots!E:E,"")</f>
        <v>2</v>
      </c>
      <c r="Q386" s="15">
        <f xml:space="preserve"> (playerGameStats!$R386 * 2) + (playerGameStats!$S386 * 3) + (playerGameStats!$T386)</f>
        <v>3</v>
      </c>
      <c r="R386" s="15">
        <v>0</v>
      </c>
      <c r="S386" s="15">
        <v>1</v>
      </c>
      <c r="T386" s="15">
        <v>0</v>
      </c>
      <c r="U386" s="18">
        <v>0</v>
      </c>
    </row>
    <row r="387" spans="1:21" x14ac:dyDescent="0.25">
      <c r="A387" s="14" t="s">
        <v>324</v>
      </c>
      <c r="B387" s="15">
        <v>2026</v>
      </c>
      <c r="C387" s="15" t="s">
        <v>36</v>
      </c>
      <c r="D387" s="15">
        <v>6</v>
      </c>
      <c r="E387" s="16">
        <v>46154</v>
      </c>
      <c r="F387" s="17">
        <v>0.77083333333333337</v>
      </c>
      <c r="G387" s="15" t="s">
        <v>18</v>
      </c>
      <c r="H387" s="15" t="s">
        <v>310</v>
      </c>
      <c r="I387" s="15" t="s">
        <v>299</v>
      </c>
      <c r="J387" s="15" t="s">
        <v>14</v>
      </c>
      <c r="K387" s="15" t="s">
        <v>43</v>
      </c>
      <c r="L387" s="15" t="s">
        <v>11</v>
      </c>
      <c r="M387" s="15" t="s">
        <v>45</v>
      </c>
      <c r="N387" s="15" t="s">
        <v>267</v>
      </c>
      <c r="O387" s="15" t="str">
        <f>_xlfn.XLOOKUP(N387,players!A:A,players!D:D,"")</f>
        <v>Keshon Coleman</v>
      </c>
      <c r="P387" s="15" cm="1">
        <f t="array" ref="P387">_xlfn.XLOOKUP(I387&amp;N387,rosterSpots!B:B&amp;rosterSpots!D:D,rosterSpots!E:E,"")</f>
        <v>4</v>
      </c>
      <c r="Q387" s="15">
        <f xml:space="preserve"> (playerGameStats!$R387 * 2) + (playerGameStats!$S387 * 3) + (playerGameStats!$T387)</f>
        <v>5</v>
      </c>
      <c r="R387" s="15">
        <v>1</v>
      </c>
      <c r="S387" s="15">
        <v>1</v>
      </c>
      <c r="T387" s="15">
        <v>0</v>
      </c>
      <c r="U387" s="18">
        <v>0</v>
      </c>
    </row>
    <row r="388" spans="1:21" x14ac:dyDescent="0.25">
      <c r="A388" s="19" t="s">
        <v>324</v>
      </c>
      <c r="B388" s="20">
        <v>2026</v>
      </c>
      <c r="C388" s="20" t="s">
        <v>36</v>
      </c>
      <c r="D388" s="20">
        <v>6</v>
      </c>
      <c r="E388" s="21">
        <v>46154</v>
      </c>
      <c r="F388" s="22">
        <v>0.77083333333333337</v>
      </c>
      <c r="G388" s="20" t="s">
        <v>18</v>
      </c>
      <c r="H388" s="20" t="s">
        <v>310</v>
      </c>
      <c r="I388" s="20" t="s">
        <v>299</v>
      </c>
      <c r="J388" s="20" t="s">
        <v>14</v>
      </c>
      <c r="K388" s="20" t="s">
        <v>43</v>
      </c>
      <c r="L388" s="20" t="s">
        <v>11</v>
      </c>
      <c r="M388" s="20" t="s">
        <v>45</v>
      </c>
      <c r="N388" s="20" t="s">
        <v>264</v>
      </c>
      <c r="O388" s="20" t="str">
        <f>_xlfn.XLOOKUP(N388,players!A:A,players!D:D,"")</f>
        <v/>
      </c>
      <c r="P388" s="20" cm="1">
        <f t="array" ref="P388">_xlfn.XLOOKUP(I388&amp;N388,rosterSpots!B:B&amp;rosterSpots!D:D,rosterSpots!E:E,"")</f>
        <v>6</v>
      </c>
      <c r="Q388" s="20">
        <f xml:space="preserve"> (playerGameStats!$R388 * 2) + (playerGameStats!$S388 * 3) + (playerGameStats!$T388)</f>
        <v>7</v>
      </c>
      <c r="R388" s="20">
        <v>2</v>
      </c>
      <c r="S388" s="20">
        <v>1</v>
      </c>
      <c r="T388" s="20">
        <v>0</v>
      </c>
      <c r="U388" s="23">
        <v>0</v>
      </c>
    </row>
    <row r="389" spans="1:21" x14ac:dyDescent="0.25">
      <c r="A389" s="14" t="s">
        <v>324</v>
      </c>
      <c r="B389" s="15">
        <v>2026</v>
      </c>
      <c r="C389" s="15" t="s">
        <v>36</v>
      </c>
      <c r="D389" s="15">
        <v>6</v>
      </c>
      <c r="E389" s="16">
        <v>46154</v>
      </c>
      <c r="F389" s="17">
        <v>0.77083333333333337</v>
      </c>
      <c r="G389" s="15" t="s">
        <v>18</v>
      </c>
      <c r="H389" s="15" t="s">
        <v>310</v>
      </c>
      <c r="I389" s="15" t="s">
        <v>299</v>
      </c>
      <c r="J389" s="15" t="s">
        <v>14</v>
      </c>
      <c r="K389" s="15" t="s">
        <v>43</v>
      </c>
      <c r="L389" s="15" t="s">
        <v>11</v>
      </c>
      <c r="M389" s="15" t="s">
        <v>45</v>
      </c>
      <c r="N389" s="15" t="s">
        <v>262</v>
      </c>
      <c r="O389" s="15" t="str">
        <f>_xlfn.XLOOKUP(N389,players!A:A,players!D:D,"")</f>
        <v>Connor Thomas</v>
      </c>
      <c r="P389" s="15" cm="1">
        <f t="array" ref="P389">_xlfn.XLOOKUP(I389&amp;N389,rosterSpots!B:B&amp;rosterSpots!D:D,rosterSpots!E:E,"")</f>
        <v>9</v>
      </c>
      <c r="Q389" s="15">
        <f xml:space="preserve"> (playerGameStats!$R389 * 2) + (playerGameStats!$S389 * 3) + (playerGameStats!$T389)</f>
        <v>6</v>
      </c>
      <c r="R389" s="15">
        <v>2</v>
      </c>
      <c r="S389" s="15">
        <v>0</v>
      </c>
      <c r="T389" s="15">
        <v>2</v>
      </c>
      <c r="U389" s="18">
        <v>2</v>
      </c>
    </row>
    <row r="390" spans="1:21" x14ac:dyDescent="0.25">
      <c r="A390" s="19" t="s">
        <v>324</v>
      </c>
      <c r="B390" s="20">
        <v>2026</v>
      </c>
      <c r="C390" s="20" t="s">
        <v>36</v>
      </c>
      <c r="D390" s="20">
        <v>6</v>
      </c>
      <c r="E390" s="21">
        <v>46154</v>
      </c>
      <c r="F390" s="22">
        <v>0.77083333333333337</v>
      </c>
      <c r="G390" s="20" t="s">
        <v>18</v>
      </c>
      <c r="H390" s="20" t="s">
        <v>310</v>
      </c>
      <c r="I390" s="20" t="s">
        <v>299</v>
      </c>
      <c r="J390" s="20" t="s">
        <v>14</v>
      </c>
      <c r="K390" s="20" t="s">
        <v>43</v>
      </c>
      <c r="L390" s="20" t="s">
        <v>11</v>
      </c>
      <c r="M390" s="20" t="s">
        <v>45</v>
      </c>
      <c r="N390" s="20" t="s">
        <v>263</v>
      </c>
      <c r="O390" s="20" t="str">
        <f>_xlfn.XLOOKUP(N390,players!A:A,players!D:D,"")</f>
        <v>Connor Holm</v>
      </c>
      <c r="P390" s="20" cm="1">
        <f t="array" ref="P390">_xlfn.XLOOKUP(I390&amp;N390,rosterSpots!B:B&amp;rosterSpots!D:D,rosterSpots!E:E,"")</f>
        <v>12</v>
      </c>
      <c r="Q390" s="20">
        <f xml:space="preserve"> (playerGameStats!$R390 * 2) + (playerGameStats!$S390 * 3) + (playerGameStats!$T390)</f>
        <v>0</v>
      </c>
      <c r="R390" s="20">
        <v>0</v>
      </c>
      <c r="S390" s="20">
        <v>0</v>
      </c>
      <c r="T390" s="20">
        <v>0</v>
      </c>
      <c r="U390" s="23">
        <v>0</v>
      </c>
    </row>
    <row r="391" spans="1:21" x14ac:dyDescent="0.25">
      <c r="A391" s="14" t="s">
        <v>324</v>
      </c>
      <c r="B391" s="15">
        <v>2026</v>
      </c>
      <c r="C391" s="15" t="s">
        <v>36</v>
      </c>
      <c r="D391" s="15">
        <v>6</v>
      </c>
      <c r="E391" s="16">
        <v>46154</v>
      </c>
      <c r="F391" s="17">
        <v>0.77083333333333337</v>
      </c>
      <c r="G391" s="15" t="s">
        <v>18</v>
      </c>
      <c r="H391" s="15" t="s">
        <v>310</v>
      </c>
      <c r="I391" s="15" t="s">
        <v>299</v>
      </c>
      <c r="J391" s="15" t="s">
        <v>14</v>
      </c>
      <c r="K391" s="15" t="s">
        <v>43</v>
      </c>
      <c r="L391" s="15" t="s">
        <v>11</v>
      </c>
      <c r="M391" s="15" t="s">
        <v>45</v>
      </c>
      <c r="N391" s="15" t="s">
        <v>266</v>
      </c>
      <c r="O391" s="15" t="str">
        <f>_xlfn.XLOOKUP(N391,players!A:A,players!D:D,"")</f>
        <v>Ian McCaw</v>
      </c>
      <c r="P391" s="15" cm="1">
        <f t="array" ref="P391">_xlfn.XLOOKUP(I391&amp;N391,rosterSpots!B:B&amp;rosterSpots!D:D,rosterSpots!E:E,"")</f>
        <v>50</v>
      </c>
      <c r="Q391" s="15">
        <f xml:space="preserve"> (playerGameStats!$R391 * 2) + (playerGameStats!$S391 * 3) + (playerGameStats!$T391)</f>
        <v>19</v>
      </c>
      <c r="R391" s="15">
        <v>9</v>
      </c>
      <c r="S391" s="15">
        <v>0</v>
      </c>
      <c r="T391" s="15">
        <v>1</v>
      </c>
      <c r="U391" s="18">
        <v>1</v>
      </c>
    </row>
    <row r="392" spans="1:21" x14ac:dyDescent="0.25">
      <c r="A392" s="14" t="s">
        <v>323</v>
      </c>
      <c r="B392" s="15">
        <v>2026</v>
      </c>
      <c r="C392" s="15" t="s">
        <v>36</v>
      </c>
      <c r="D392" s="15">
        <v>6</v>
      </c>
      <c r="E392" s="16">
        <v>46154</v>
      </c>
      <c r="F392" s="17">
        <v>0.8125</v>
      </c>
      <c r="G392" s="15" t="s">
        <v>18</v>
      </c>
      <c r="H392" s="15" t="s">
        <v>310</v>
      </c>
      <c r="I392" s="15" t="s">
        <v>298</v>
      </c>
      <c r="J392" s="15" t="s">
        <v>12</v>
      </c>
      <c r="K392" s="15" t="s">
        <v>46</v>
      </c>
      <c r="L392" s="15" t="s">
        <v>15</v>
      </c>
      <c r="M392" s="15" t="s">
        <v>48</v>
      </c>
      <c r="N392" s="15" t="s">
        <v>260</v>
      </c>
      <c r="O392" s="15" t="str">
        <f>_xlfn.XLOOKUP(N392,players!A:A,players!D:D,"")</f>
        <v>Manthan Tailor</v>
      </c>
      <c r="P392" s="15" cm="1">
        <f t="array" ref="P392">_xlfn.XLOOKUP(I392&amp;N392,rosterSpots!B:B&amp;rosterSpots!D:D,rosterSpots!E:E,"")</f>
        <v>2</v>
      </c>
      <c r="Q392" s="15">
        <f xml:space="preserve"> (playerGameStats!$R392 * 2) + (playerGameStats!$S392 * 3) + (playerGameStats!$T392)</f>
        <v>3</v>
      </c>
      <c r="R392" s="15">
        <v>0</v>
      </c>
      <c r="S392" s="15">
        <v>1</v>
      </c>
      <c r="T392" s="15">
        <v>0</v>
      </c>
      <c r="U392" s="18">
        <v>0</v>
      </c>
    </row>
    <row r="393" spans="1:21" x14ac:dyDescent="0.25">
      <c r="A393" s="19" t="s">
        <v>323</v>
      </c>
      <c r="B393" s="20">
        <v>2026</v>
      </c>
      <c r="C393" s="20" t="s">
        <v>36</v>
      </c>
      <c r="D393" s="20">
        <v>6</v>
      </c>
      <c r="E393" s="21">
        <v>46154</v>
      </c>
      <c r="F393" s="22">
        <v>0.8125</v>
      </c>
      <c r="G393" s="20" t="s">
        <v>18</v>
      </c>
      <c r="H393" s="20" t="s">
        <v>310</v>
      </c>
      <c r="I393" s="20" t="s">
        <v>298</v>
      </c>
      <c r="J393" s="20" t="s">
        <v>12</v>
      </c>
      <c r="K393" s="20" t="s">
        <v>46</v>
      </c>
      <c r="L393" s="20" t="s">
        <v>15</v>
      </c>
      <c r="M393" s="20" t="s">
        <v>48</v>
      </c>
      <c r="N393" s="20" t="s">
        <v>253</v>
      </c>
      <c r="O393" s="20" t="str">
        <f>_xlfn.XLOOKUP(N393,players!A:A,players!D:D,"")</f>
        <v>Doug Adams</v>
      </c>
      <c r="P393" s="20" cm="1">
        <f t="array" ref="P393">_xlfn.XLOOKUP(I393&amp;N393,rosterSpots!B:B&amp;rosterSpots!D:D,rosterSpots!E:E,"")</f>
        <v>3</v>
      </c>
      <c r="Q393" s="20">
        <f xml:space="preserve"> (playerGameStats!$R393 * 2) + (playerGameStats!$S393 * 3) + (playerGameStats!$T393)</f>
        <v>27</v>
      </c>
      <c r="R393" s="20">
        <v>4</v>
      </c>
      <c r="S393" s="20">
        <v>5</v>
      </c>
      <c r="T393" s="20">
        <v>4</v>
      </c>
      <c r="U393" s="23">
        <v>4</v>
      </c>
    </row>
    <row r="394" spans="1:21" x14ac:dyDescent="0.25">
      <c r="A394" s="14" t="s">
        <v>323</v>
      </c>
      <c r="B394" s="15">
        <v>2026</v>
      </c>
      <c r="C394" s="15" t="s">
        <v>36</v>
      </c>
      <c r="D394" s="15">
        <v>6</v>
      </c>
      <c r="E394" s="16">
        <v>46154</v>
      </c>
      <c r="F394" s="17">
        <v>0.8125</v>
      </c>
      <c r="G394" s="15" t="s">
        <v>18</v>
      </c>
      <c r="H394" s="15" t="s">
        <v>310</v>
      </c>
      <c r="I394" s="15" t="s">
        <v>298</v>
      </c>
      <c r="J394" s="15" t="s">
        <v>12</v>
      </c>
      <c r="K394" s="15" t="s">
        <v>46</v>
      </c>
      <c r="L394" s="15" t="s">
        <v>15</v>
      </c>
      <c r="M394" s="15" t="s">
        <v>48</v>
      </c>
      <c r="N394" s="15" t="s">
        <v>257</v>
      </c>
      <c r="O394" s="15" t="str">
        <f>_xlfn.XLOOKUP(N394,players!A:A,players!D:D,"")</f>
        <v>Janos Vajda</v>
      </c>
      <c r="P394" s="15" cm="1">
        <f t="array" ref="P394">_xlfn.XLOOKUP(I394&amp;N394,rosterSpots!B:B&amp;rosterSpots!D:D,rosterSpots!E:E,"")</f>
        <v>5</v>
      </c>
      <c r="Q394" s="15">
        <f xml:space="preserve"> (playerGameStats!$R394 * 2) + (playerGameStats!$S394 * 3) + (playerGameStats!$T394)</f>
        <v>3</v>
      </c>
      <c r="R394" s="15">
        <v>0</v>
      </c>
      <c r="S394" s="15">
        <v>1</v>
      </c>
      <c r="T394" s="15">
        <v>0</v>
      </c>
      <c r="U394" s="18">
        <v>0</v>
      </c>
    </row>
    <row r="395" spans="1:21" x14ac:dyDescent="0.25">
      <c r="A395" s="19" t="s">
        <v>323</v>
      </c>
      <c r="B395" s="20">
        <v>2026</v>
      </c>
      <c r="C395" s="20" t="s">
        <v>36</v>
      </c>
      <c r="D395" s="20">
        <v>6</v>
      </c>
      <c r="E395" s="21">
        <v>46154</v>
      </c>
      <c r="F395" s="22">
        <v>0.8125</v>
      </c>
      <c r="G395" s="20" t="s">
        <v>18</v>
      </c>
      <c r="H395" s="20" t="s">
        <v>310</v>
      </c>
      <c r="I395" s="20" t="s">
        <v>298</v>
      </c>
      <c r="J395" s="20" t="s">
        <v>12</v>
      </c>
      <c r="K395" s="20" t="s">
        <v>46</v>
      </c>
      <c r="L395" s="20" t="s">
        <v>15</v>
      </c>
      <c r="M395" s="20" t="s">
        <v>48</v>
      </c>
      <c r="N395" s="20" t="s">
        <v>255</v>
      </c>
      <c r="O395" s="20" t="str">
        <f>_xlfn.XLOOKUP(N395,players!A:A,players!D:D,"")</f>
        <v>Connor Stine</v>
      </c>
      <c r="P395" s="20" cm="1">
        <f t="array" ref="P395">_xlfn.XLOOKUP(I395&amp;N395,rosterSpots!B:B&amp;rosterSpots!D:D,rosterSpots!E:E,"")</f>
        <v>14</v>
      </c>
      <c r="Q395" s="20">
        <f xml:space="preserve"> (playerGameStats!$R395 * 2) + (playerGameStats!$S395 * 3) + (playerGameStats!$T395)</f>
        <v>7</v>
      </c>
      <c r="R395" s="20">
        <v>2</v>
      </c>
      <c r="S395" s="20">
        <v>1</v>
      </c>
      <c r="T395" s="20">
        <v>0</v>
      </c>
      <c r="U395" s="23">
        <v>0</v>
      </c>
    </row>
    <row r="396" spans="1:21" x14ac:dyDescent="0.25">
      <c r="A396" s="14" t="s">
        <v>323</v>
      </c>
      <c r="B396" s="15">
        <v>2026</v>
      </c>
      <c r="C396" s="15" t="s">
        <v>36</v>
      </c>
      <c r="D396" s="15">
        <v>6</v>
      </c>
      <c r="E396" s="16">
        <v>46154</v>
      </c>
      <c r="F396" s="17">
        <v>0.8125</v>
      </c>
      <c r="G396" s="15" t="s">
        <v>18</v>
      </c>
      <c r="H396" s="15" t="s">
        <v>310</v>
      </c>
      <c r="I396" s="15" t="s">
        <v>298</v>
      </c>
      <c r="J396" s="15" t="s">
        <v>12</v>
      </c>
      <c r="K396" s="15" t="s">
        <v>46</v>
      </c>
      <c r="L396" s="15" t="s">
        <v>15</v>
      </c>
      <c r="M396" s="15" t="s">
        <v>48</v>
      </c>
      <c r="N396" s="15" t="s">
        <v>256</v>
      </c>
      <c r="O396" s="15" t="str">
        <f>_xlfn.XLOOKUP(N396,players!A:A,players!D:D,"")</f>
        <v>Sragvi Tirumala</v>
      </c>
      <c r="P396" s="15" cm="1">
        <f t="array" ref="P396">_xlfn.XLOOKUP(I396&amp;N396,rosterSpots!B:B&amp;rosterSpots!D:D,rosterSpots!E:E,"")</f>
        <v>17</v>
      </c>
      <c r="Q396" s="15">
        <f xml:space="preserve"> (playerGameStats!$R396 * 2) + (playerGameStats!$S396 * 3) + (playerGameStats!$T396)</f>
        <v>8</v>
      </c>
      <c r="R396" s="15">
        <v>4</v>
      </c>
      <c r="S396" s="15">
        <v>0</v>
      </c>
      <c r="T396" s="15">
        <v>0</v>
      </c>
      <c r="U396" s="18">
        <v>0</v>
      </c>
    </row>
    <row r="397" spans="1:21" x14ac:dyDescent="0.25">
      <c r="A397" s="19" t="s">
        <v>323</v>
      </c>
      <c r="B397" s="20">
        <v>2026</v>
      </c>
      <c r="C397" s="20" t="s">
        <v>36</v>
      </c>
      <c r="D397" s="20">
        <v>6</v>
      </c>
      <c r="E397" s="21">
        <v>46154</v>
      </c>
      <c r="F397" s="22">
        <v>0.8125</v>
      </c>
      <c r="G397" s="20" t="s">
        <v>18</v>
      </c>
      <c r="H397" s="20" t="s">
        <v>310</v>
      </c>
      <c r="I397" s="20" t="s">
        <v>298</v>
      </c>
      <c r="J397" s="20" t="s">
        <v>12</v>
      </c>
      <c r="K397" s="20" t="s">
        <v>46</v>
      </c>
      <c r="L397" s="20" t="s">
        <v>15</v>
      </c>
      <c r="M397" s="20" t="s">
        <v>48</v>
      </c>
      <c r="N397" s="20" t="s">
        <v>259</v>
      </c>
      <c r="O397" s="20" t="str">
        <f>_xlfn.XLOOKUP(N397,players!A:A,players!D:D,"")</f>
        <v>Allen Harley</v>
      </c>
      <c r="P397" s="20" cm="1">
        <f t="array" ref="P397">_xlfn.XLOOKUP(I397&amp;N397,rosterSpots!B:B&amp;rosterSpots!D:D,rosterSpots!E:E,"")</f>
        <v>21</v>
      </c>
      <c r="Q397" s="20">
        <f xml:space="preserve"> (playerGameStats!$R397 * 2) + (playerGameStats!$S397 * 3) + (playerGameStats!$T397)</f>
        <v>2</v>
      </c>
      <c r="R397" s="20">
        <v>1</v>
      </c>
      <c r="S397" s="20">
        <v>0</v>
      </c>
      <c r="T397" s="20">
        <v>0</v>
      </c>
      <c r="U397" s="23">
        <v>0</v>
      </c>
    </row>
    <row r="398" spans="1:21" x14ac:dyDescent="0.25">
      <c r="A398" s="14" t="s">
        <v>323</v>
      </c>
      <c r="B398" s="15">
        <v>2026</v>
      </c>
      <c r="C398" s="15" t="s">
        <v>36</v>
      </c>
      <c r="D398" s="15">
        <v>6</v>
      </c>
      <c r="E398" s="16">
        <v>46154</v>
      </c>
      <c r="F398" s="17">
        <v>0.8125</v>
      </c>
      <c r="G398" s="15" t="s">
        <v>18</v>
      </c>
      <c r="H398" s="15" t="s">
        <v>310</v>
      </c>
      <c r="I398" s="15" t="s">
        <v>298</v>
      </c>
      <c r="J398" s="15" t="s">
        <v>12</v>
      </c>
      <c r="K398" s="15" t="s">
        <v>46</v>
      </c>
      <c r="L398" s="15" t="s">
        <v>15</v>
      </c>
      <c r="M398" s="15" t="s">
        <v>48</v>
      </c>
      <c r="N398" s="15" t="s">
        <v>261</v>
      </c>
      <c r="O398" s="15" t="str">
        <f>_xlfn.XLOOKUP(N398,players!A:A,players!D:D,"")</f>
        <v>Ricky Riaz</v>
      </c>
      <c r="P398" s="15" cm="1">
        <f t="array" ref="P398">_xlfn.XLOOKUP(I398&amp;N398,rosterSpots!B:B&amp;rosterSpots!D:D,rosterSpots!E:E,"")</f>
        <v>30</v>
      </c>
      <c r="Q398" s="15">
        <f xml:space="preserve"> (playerGameStats!$R398 * 2) + (playerGameStats!$S398 * 3) + (playerGameStats!$T398)</f>
        <v>0</v>
      </c>
      <c r="R398" s="15">
        <v>0</v>
      </c>
      <c r="S398" s="15">
        <v>0</v>
      </c>
      <c r="T398" s="15">
        <v>0</v>
      </c>
      <c r="U398" s="18">
        <v>0</v>
      </c>
    </row>
    <row r="399" spans="1:21" x14ac:dyDescent="0.25">
      <c r="A399" s="19" t="s">
        <v>323</v>
      </c>
      <c r="B399" s="20">
        <v>2026</v>
      </c>
      <c r="C399" s="20" t="s">
        <v>36</v>
      </c>
      <c r="D399" s="20">
        <v>6</v>
      </c>
      <c r="E399" s="21">
        <v>46154</v>
      </c>
      <c r="F399" s="22">
        <v>0.8125</v>
      </c>
      <c r="G399" s="20" t="s">
        <v>18</v>
      </c>
      <c r="H399" s="20" t="s">
        <v>310</v>
      </c>
      <c r="I399" s="20" t="s">
        <v>296</v>
      </c>
      <c r="J399" s="20" t="s">
        <v>15</v>
      </c>
      <c r="K399" s="20" t="s">
        <v>48</v>
      </c>
      <c r="L399" s="20" t="s">
        <v>12</v>
      </c>
      <c r="M399" s="20" t="s">
        <v>46</v>
      </c>
      <c r="N399" s="20" t="s">
        <v>238</v>
      </c>
      <c r="O399" s="20" t="str">
        <f>_xlfn.XLOOKUP(N399,players!A:A,players!D:D,"")</f>
        <v>Derin Sweeney</v>
      </c>
      <c r="P399" s="20" cm="1">
        <f t="array" ref="P399">_xlfn.XLOOKUP(I399&amp;N399,rosterSpots!B:B&amp;rosterSpots!D:D,rosterSpots!E:E,"")</f>
        <v>0</v>
      </c>
      <c r="Q399" s="20">
        <f xml:space="preserve"> (playerGameStats!$R399 * 2) + (playerGameStats!$S399 * 3) + (playerGameStats!$T399)</f>
        <v>12</v>
      </c>
      <c r="R399" s="20">
        <v>3</v>
      </c>
      <c r="S399" s="20">
        <v>2</v>
      </c>
      <c r="T399" s="20">
        <v>0</v>
      </c>
      <c r="U399" s="23">
        <v>0</v>
      </c>
    </row>
    <row r="400" spans="1:21" x14ac:dyDescent="0.25">
      <c r="A400" s="14" t="s">
        <v>323</v>
      </c>
      <c r="B400" s="15">
        <v>2026</v>
      </c>
      <c r="C400" s="15" t="s">
        <v>36</v>
      </c>
      <c r="D400" s="15">
        <v>6</v>
      </c>
      <c r="E400" s="16">
        <v>46154</v>
      </c>
      <c r="F400" s="17">
        <v>0.8125</v>
      </c>
      <c r="G400" s="15" t="s">
        <v>18</v>
      </c>
      <c r="H400" s="15" t="s">
        <v>310</v>
      </c>
      <c r="I400" s="15" t="s">
        <v>296</v>
      </c>
      <c r="J400" s="15" t="s">
        <v>15</v>
      </c>
      <c r="K400" s="15" t="s">
        <v>48</v>
      </c>
      <c r="L400" s="15" t="s">
        <v>12</v>
      </c>
      <c r="M400" s="15" t="s">
        <v>46</v>
      </c>
      <c r="N400" s="15" t="s">
        <v>240</v>
      </c>
      <c r="O400" s="15" t="str">
        <f>_xlfn.XLOOKUP(N400,players!A:A,players!D:D,"")</f>
        <v>Kevin Tierney</v>
      </c>
      <c r="P400" s="15" cm="1">
        <f t="array" ref="P400">_xlfn.XLOOKUP(I400&amp;N400,rosterSpots!B:B&amp;rosterSpots!D:D,rosterSpots!E:E,"")</f>
        <v>1</v>
      </c>
      <c r="Q400" s="15">
        <f xml:space="preserve"> (playerGameStats!$R400 * 2) + (playerGameStats!$S400 * 3) + (playerGameStats!$T400)</f>
        <v>18</v>
      </c>
      <c r="R400" s="15">
        <v>3</v>
      </c>
      <c r="S400" s="15">
        <v>4</v>
      </c>
      <c r="T400" s="15">
        <v>0</v>
      </c>
      <c r="U400" s="18">
        <v>0</v>
      </c>
    </row>
    <row r="401" spans="1:21" x14ac:dyDescent="0.25">
      <c r="A401" s="14" t="s">
        <v>323</v>
      </c>
      <c r="B401" s="15">
        <v>2026</v>
      </c>
      <c r="C401" s="15" t="s">
        <v>36</v>
      </c>
      <c r="D401" s="15">
        <v>6</v>
      </c>
      <c r="E401" s="16">
        <v>46154</v>
      </c>
      <c r="F401" s="17">
        <v>0.8125</v>
      </c>
      <c r="G401" s="15" t="s">
        <v>18</v>
      </c>
      <c r="H401" s="15" t="s">
        <v>310</v>
      </c>
      <c r="I401" s="15" t="s">
        <v>296</v>
      </c>
      <c r="J401" s="15" t="s">
        <v>15</v>
      </c>
      <c r="K401" s="15" t="s">
        <v>48</v>
      </c>
      <c r="L401" s="15" t="s">
        <v>12</v>
      </c>
      <c r="M401" s="15" t="s">
        <v>46</v>
      </c>
      <c r="N401" s="15" t="s">
        <v>243</v>
      </c>
      <c r="O401" s="15" t="str">
        <f>_xlfn.XLOOKUP(N401,players!A:A,players!D:D,"")</f>
        <v>Donald Owens</v>
      </c>
      <c r="P401" s="15" cm="1">
        <f t="array" ref="P401">_xlfn.XLOOKUP(I401&amp;N401,rosterSpots!B:B&amp;rosterSpots!D:D,rosterSpots!E:E,"")</f>
        <v>11</v>
      </c>
      <c r="Q401" s="15">
        <f xml:space="preserve"> (playerGameStats!$R401 * 2) + (playerGameStats!$S401 * 3) + (playerGameStats!$T401)</f>
        <v>2</v>
      </c>
      <c r="R401" s="15">
        <v>1</v>
      </c>
      <c r="S401" s="15">
        <v>0</v>
      </c>
      <c r="T401" s="15">
        <v>0</v>
      </c>
      <c r="U401" s="18">
        <v>0</v>
      </c>
    </row>
    <row r="402" spans="1:21" x14ac:dyDescent="0.25">
      <c r="A402" s="19" t="s">
        <v>323</v>
      </c>
      <c r="B402" s="20">
        <v>2026</v>
      </c>
      <c r="C402" s="20" t="s">
        <v>36</v>
      </c>
      <c r="D402" s="20">
        <v>6</v>
      </c>
      <c r="E402" s="21">
        <v>46154</v>
      </c>
      <c r="F402" s="22">
        <v>0.8125</v>
      </c>
      <c r="G402" s="20" t="s">
        <v>18</v>
      </c>
      <c r="H402" s="20" t="s">
        <v>310</v>
      </c>
      <c r="I402" s="20" t="s">
        <v>296</v>
      </c>
      <c r="J402" s="20" t="s">
        <v>15</v>
      </c>
      <c r="K402" s="20" t="s">
        <v>48</v>
      </c>
      <c r="L402" s="20" t="s">
        <v>12</v>
      </c>
      <c r="M402" s="20" t="s">
        <v>46</v>
      </c>
      <c r="N402" s="20" t="s">
        <v>237</v>
      </c>
      <c r="O402" s="20" t="str">
        <f>_xlfn.XLOOKUP(N402,players!A:A,players!D:D,"")</f>
        <v>Zach Rollman</v>
      </c>
      <c r="P402" s="20" cm="1">
        <f t="array" ref="P402">_xlfn.XLOOKUP(I402&amp;N402,rosterSpots!B:B&amp;rosterSpots!D:D,rosterSpots!E:E,"")</f>
        <v>13</v>
      </c>
      <c r="Q402" s="20">
        <f xml:space="preserve"> (playerGameStats!$R402 * 2) + (playerGameStats!$S402 * 3) + (playerGameStats!$T402)</f>
        <v>14</v>
      </c>
      <c r="R402" s="20">
        <v>4</v>
      </c>
      <c r="S402" s="20">
        <v>2</v>
      </c>
      <c r="T402" s="20">
        <v>0</v>
      </c>
      <c r="U402" s="23">
        <v>0</v>
      </c>
    </row>
    <row r="403" spans="1:21" x14ac:dyDescent="0.25">
      <c r="A403" s="14" t="s">
        <v>323</v>
      </c>
      <c r="B403" s="15">
        <v>2026</v>
      </c>
      <c r="C403" s="15" t="s">
        <v>36</v>
      </c>
      <c r="D403" s="15">
        <v>6</v>
      </c>
      <c r="E403" s="16">
        <v>46154</v>
      </c>
      <c r="F403" s="17">
        <v>0.8125</v>
      </c>
      <c r="G403" s="15" t="s">
        <v>18</v>
      </c>
      <c r="H403" s="15" t="s">
        <v>310</v>
      </c>
      <c r="I403" s="15" t="s">
        <v>296</v>
      </c>
      <c r="J403" s="15" t="s">
        <v>15</v>
      </c>
      <c r="K403" s="15" t="s">
        <v>48</v>
      </c>
      <c r="L403" s="15" t="s">
        <v>12</v>
      </c>
      <c r="M403" s="15" t="s">
        <v>46</v>
      </c>
      <c r="N403" s="15" t="s">
        <v>236</v>
      </c>
      <c r="O403" s="15" t="str">
        <f>_xlfn.XLOOKUP(N403,players!A:A,players!D:D,"")</f>
        <v>Jeff Savage</v>
      </c>
      <c r="P403" s="15" cm="1">
        <f t="array" ref="P403">_xlfn.XLOOKUP(I403&amp;N403,rosterSpots!B:B&amp;rosterSpots!D:D,rosterSpots!E:E,"")</f>
        <v>14</v>
      </c>
      <c r="Q403" s="15">
        <f xml:space="preserve"> (playerGameStats!$R403 * 2) + (playerGameStats!$S403 * 3) + (playerGameStats!$T403)</f>
        <v>0</v>
      </c>
      <c r="R403" s="15">
        <v>0</v>
      </c>
      <c r="S403" s="15">
        <v>0</v>
      </c>
      <c r="T403" s="15">
        <v>0</v>
      </c>
      <c r="U403" s="18">
        <v>0</v>
      </c>
    </row>
    <row r="404" spans="1:21" x14ac:dyDescent="0.25">
      <c r="A404" s="19" t="s">
        <v>323</v>
      </c>
      <c r="B404" s="20">
        <v>2026</v>
      </c>
      <c r="C404" s="20" t="s">
        <v>36</v>
      </c>
      <c r="D404" s="20">
        <v>6</v>
      </c>
      <c r="E404" s="21">
        <v>46154</v>
      </c>
      <c r="F404" s="22">
        <v>0.8125</v>
      </c>
      <c r="G404" s="20" t="s">
        <v>18</v>
      </c>
      <c r="H404" s="20" t="s">
        <v>310</v>
      </c>
      <c r="I404" s="20" t="s">
        <v>296</v>
      </c>
      <c r="J404" s="20" t="s">
        <v>15</v>
      </c>
      <c r="K404" s="20" t="s">
        <v>48</v>
      </c>
      <c r="L404" s="20" t="s">
        <v>12</v>
      </c>
      <c r="M404" s="20" t="s">
        <v>46</v>
      </c>
      <c r="N404" s="20" t="s">
        <v>241</v>
      </c>
      <c r="O404" s="20" t="str">
        <f>_xlfn.XLOOKUP(N404,players!A:A,players!D:D,"")</f>
        <v>Brian Clemens</v>
      </c>
      <c r="P404" s="20" cm="1">
        <f t="array" ref="P404">_xlfn.XLOOKUP(I404&amp;N404,rosterSpots!B:B&amp;rosterSpots!D:D,rosterSpots!E:E,"")</f>
        <v>17</v>
      </c>
      <c r="Q404" s="20">
        <f xml:space="preserve"> (playerGameStats!$R404 * 2) + (playerGameStats!$S404 * 3) + (playerGameStats!$T404)</f>
        <v>11</v>
      </c>
      <c r="R404" s="20">
        <v>1</v>
      </c>
      <c r="S404" s="20">
        <v>3</v>
      </c>
      <c r="T404" s="20">
        <v>0</v>
      </c>
      <c r="U404" s="23">
        <v>0</v>
      </c>
    </row>
    <row r="405" spans="1:21" x14ac:dyDescent="0.25">
      <c r="A405" s="14" t="s">
        <v>323</v>
      </c>
      <c r="B405" s="15">
        <v>2026</v>
      </c>
      <c r="C405" s="15" t="s">
        <v>36</v>
      </c>
      <c r="D405" s="15">
        <v>6</v>
      </c>
      <c r="E405" s="16">
        <v>46154</v>
      </c>
      <c r="F405" s="17">
        <v>0.8125</v>
      </c>
      <c r="G405" s="15" t="s">
        <v>18</v>
      </c>
      <c r="H405" s="15" t="s">
        <v>310</v>
      </c>
      <c r="I405" s="15" t="s">
        <v>296</v>
      </c>
      <c r="J405" s="15" t="s">
        <v>15</v>
      </c>
      <c r="K405" s="15" t="s">
        <v>48</v>
      </c>
      <c r="L405" s="15" t="s">
        <v>12</v>
      </c>
      <c r="M405" s="15" t="s">
        <v>46</v>
      </c>
      <c r="N405" s="15" t="s">
        <v>242</v>
      </c>
      <c r="O405" s="15" t="str">
        <f>_xlfn.XLOOKUP(N405,players!A:A,players!D:D,"")</f>
        <v>Jordan Wilcox</v>
      </c>
      <c r="P405" s="15" cm="1">
        <f t="array" ref="P405">_xlfn.XLOOKUP(I405&amp;N405,rosterSpots!B:B&amp;rosterSpots!D:D,rosterSpots!E:E,"")</f>
        <v>24</v>
      </c>
      <c r="Q405" s="15">
        <f xml:space="preserve"> (playerGameStats!$R405 * 2) + (playerGameStats!$S405 * 3) + (playerGameStats!$T405)</f>
        <v>17</v>
      </c>
      <c r="R405" s="15">
        <v>8</v>
      </c>
      <c r="S405" s="15">
        <v>0</v>
      </c>
      <c r="T405" s="15">
        <v>1</v>
      </c>
      <c r="U405" s="18">
        <v>1</v>
      </c>
    </row>
    <row r="406" spans="1:21" x14ac:dyDescent="0.25">
      <c r="A406" s="19" t="s">
        <v>323</v>
      </c>
      <c r="B406" s="20">
        <v>2026</v>
      </c>
      <c r="C406" s="20" t="s">
        <v>36</v>
      </c>
      <c r="D406" s="20">
        <v>6</v>
      </c>
      <c r="E406" s="21">
        <v>46154</v>
      </c>
      <c r="F406" s="22">
        <v>0.8125</v>
      </c>
      <c r="G406" s="20" t="s">
        <v>18</v>
      </c>
      <c r="H406" s="20" t="s">
        <v>310</v>
      </c>
      <c r="I406" s="20" t="s">
        <v>296</v>
      </c>
      <c r="J406" s="20" t="s">
        <v>15</v>
      </c>
      <c r="K406" s="20" t="s">
        <v>48</v>
      </c>
      <c r="L406" s="20" t="s">
        <v>12</v>
      </c>
      <c r="M406" s="20" t="s">
        <v>46</v>
      </c>
      <c r="N406" s="20" t="s">
        <v>239</v>
      </c>
      <c r="O406" s="20" t="str">
        <f>_xlfn.XLOOKUP(N406,players!A:A,players!D:D,"")</f>
        <v>Hakim Jackson</v>
      </c>
      <c r="P406" s="20" cm="1">
        <f t="array" ref="P406">_xlfn.XLOOKUP(I406&amp;N406,rosterSpots!B:B&amp;rosterSpots!D:D,rosterSpots!E:E,"")</f>
        <v>77</v>
      </c>
      <c r="Q406" s="20">
        <f xml:space="preserve"> (playerGameStats!$R406 * 2) + (playerGameStats!$S406 * 3) + (playerGameStats!$T406)</f>
        <v>8</v>
      </c>
      <c r="R406" s="20">
        <v>1</v>
      </c>
      <c r="S406" s="20">
        <v>2</v>
      </c>
      <c r="T406" s="20">
        <v>0</v>
      </c>
      <c r="U406" s="23">
        <v>0</v>
      </c>
    </row>
    <row r="407" spans="1:21" x14ac:dyDescent="0.25">
      <c r="A407" s="19" t="s">
        <v>322</v>
      </c>
      <c r="B407" s="20">
        <v>2026</v>
      </c>
      <c r="C407" s="20" t="s">
        <v>36</v>
      </c>
      <c r="D407" s="20">
        <v>6</v>
      </c>
      <c r="E407" s="21">
        <v>46156</v>
      </c>
      <c r="F407" s="22">
        <v>0.8125</v>
      </c>
      <c r="G407" s="20" t="s">
        <v>18</v>
      </c>
      <c r="H407" s="20" t="s">
        <v>310</v>
      </c>
      <c r="I407" s="20" t="s">
        <v>294</v>
      </c>
      <c r="J407" s="20" t="s">
        <v>10</v>
      </c>
      <c r="K407" s="20" t="s">
        <v>42</v>
      </c>
      <c r="L407" s="20" t="s">
        <v>15</v>
      </c>
      <c r="M407" s="20" t="s">
        <v>48</v>
      </c>
      <c r="N407" s="20" t="s">
        <v>216</v>
      </c>
      <c r="O407" s="20" t="str">
        <f>_xlfn.XLOOKUP(N407,players!A:A,players!D:D,"")</f>
        <v>Ryan Ricciardelli</v>
      </c>
      <c r="P407" s="20" cm="1">
        <f t="array" ref="P407">_xlfn.XLOOKUP(I407&amp;N407,rosterSpots!B:B&amp;rosterSpots!D:D,rosterSpots!E:E,"")</f>
        <v>2</v>
      </c>
      <c r="Q407" s="20">
        <f xml:space="preserve"> (playerGameStats!$R407 * 2) + (playerGameStats!$S407 * 3) + (playerGameStats!$T407)</f>
        <v>10</v>
      </c>
      <c r="R407" s="20">
        <v>2</v>
      </c>
      <c r="S407" s="20">
        <v>2</v>
      </c>
      <c r="T407" s="20">
        <v>0</v>
      </c>
      <c r="U407" s="23">
        <v>0</v>
      </c>
    </row>
    <row r="408" spans="1:21" x14ac:dyDescent="0.25">
      <c r="A408" s="19" t="s">
        <v>322</v>
      </c>
      <c r="B408" s="20">
        <v>2026</v>
      </c>
      <c r="C408" s="20" t="s">
        <v>36</v>
      </c>
      <c r="D408" s="20">
        <v>6</v>
      </c>
      <c r="E408" s="21">
        <v>46156</v>
      </c>
      <c r="F408" s="22">
        <v>0.8125</v>
      </c>
      <c r="G408" s="20" t="s">
        <v>18</v>
      </c>
      <c r="H408" s="20" t="s">
        <v>310</v>
      </c>
      <c r="I408" s="20" t="s">
        <v>294</v>
      </c>
      <c r="J408" s="20" t="s">
        <v>10</v>
      </c>
      <c r="K408" s="20" t="s">
        <v>42</v>
      </c>
      <c r="L408" s="20" t="s">
        <v>15</v>
      </c>
      <c r="M408" s="20" t="s">
        <v>48</v>
      </c>
      <c r="N408" s="20" t="s">
        <v>219</v>
      </c>
      <c r="O408" s="20" t="str">
        <f>_xlfn.XLOOKUP(N408,players!A:A,players!D:D,"")</f>
        <v>Ryan Maloney</v>
      </c>
      <c r="P408" s="20" cm="1">
        <f t="array" ref="P408">_xlfn.XLOOKUP(I408&amp;N408,rosterSpots!B:B&amp;rosterSpots!D:D,rosterSpots!E:E,"")</f>
        <v>5</v>
      </c>
      <c r="Q408" s="20">
        <f xml:space="preserve"> (playerGameStats!$R408 * 2) + (playerGameStats!$S408 * 3) + (playerGameStats!$T408)</f>
        <v>3</v>
      </c>
      <c r="R408" s="20">
        <v>1</v>
      </c>
      <c r="S408" s="20">
        <v>0</v>
      </c>
      <c r="T408" s="20">
        <v>1</v>
      </c>
      <c r="U408" s="23">
        <v>2</v>
      </c>
    </row>
    <row r="409" spans="1:21" x14ac:dyDescent="0.25">
      <c r="A409" s="14" t="s">
        <v>322</v>
      </c>
      <c r="B409" s="15">
        <v>2026</v>
      </c>
      <c r="C409" s="15" t="s">
        <v>36</v>
      </c>
      <c r="D409" s="15">
        <v>6</v>
      </c>
      <c r="E409" s="16">
        <v>46156</v>
      </c>
      <c r="F409" s="17">
        <v>0.8125</v>
      </c>
      <c r="G409" s="15" t="s">
        <v>18</v>
      </c>
      <c r="H409" s="15" t="s">
        <v>310</v>
      </c>
      <c r="I409" s="15" t="s">
        <v>294</v>
      </c>
      <c r="J409" s="15" t="s">
        <v>10</v>
      </c>
      <c r="K409" s="15" t="s">
        <v>42</v>
      </c>
      <c r="L409" s="15" t="s">
        <v>15</v>
      </c>
      <c r="M409" s="15" t="s">
        <v>48</v>
      </c>
      <c r="N409" s="15" t="s">
        <v>218</v>
      </c>
      <c r="O409" s="15" t="str">
        <f>_xlfn.XLOOKUP(N409,players!A:A,players!D:D,"")</f>
        <v>Guy Johnson</v>
      </c>
      <c r="P409" s="15" cm="1">
        <f t="array" ref="P409">_xlfn.XLOOKUP(I409&amp;N409,rosterSpots!B:B&amp;rosterSpots!D:D,rosterSpots!E:E,"")</f>
        <v>9</v>
      </c>
      <c r="Q409" s="15">
        <f xml:space="preserve"> (playerGameStats!$R409 * 2) + (playerGameStats!$S409 * 3) + (playerGameStats!$T409)</f>
        <v>18</v>
      </c>
      <c r="R409" s="15">
        <v>3</v>
      </c>
      <c r="S409" s="15">
        <v>3</v>
      </c>
      <c r="T409" s="15">
        <v>3</v>
      </c>
      <c r="U409" s="18">
        <v>6</v>
      </c>
    </row>
    <row r="410" spans="1:21" x14ac:dyDescent="0.25">
      <c r="A410" s="14" t="s">
        <v>322</v>
      </c>
      <c r="B410" s="15">
        <v>2026</v>
      </c>
      <c r="C410" s="15" t="s">
        <v>36</v>
      </c>
      <c r="D410" s="15">
        <v>6</v>
      </c>
      <c r="E410" s="16">
        <v>46156</v>
      </c>
      <c r="F410" s="17">
        <v>0.8125</v>
      </c>
      <c r="G410" s="15" t="s">
        <v>18</v>
      </c>
      <c r="H410" s="15" t="s">
        <v>310</v>
      </c>
      <c r="I410" s="15" t="s">
        <v>294</v>
      </c>
      <c r="J410" s="15" t="s">
        <v>10</v>
      </c>
      <c r="K410" s="15" t="s">
        <v>42</v>
      </c>
      <c r="L410" s="15" t="s">
        <v>15</v>
      </c>
      <c r="M410" s="15" t="s">
        <v>48</v>
      </c>
      <c r="N410" s="15" t="s">
        <v>223</v>
      </c>
      <c r="O410" s="15" t="str">
        <f>_xlfn.XLOOKUP(N410,players!A:A,players!D:D,"")</f>
        <v>Clayton Kunzweiler</v>
      </c>
      <c r="P410" s="15" cm="1">
        <f t="array" ref="P410">_xlfn.XLOOKUP(I410&amp;N410,rosterSpots!B:B&amp;rosterSpots!D:D,rosterSpots!E:E,"")</f>
        <v>13</v>
      </c>
      <c r="Q410" s="15">
        <f xml:space="preserve"> (playerGameStats!$R410 * 2) + (playerGameStats!$S410 * 3) + (playerGameStats!$T410)</f>
        <v>6</v>
      </c>
      <c r="R410" s="15">
        <v>3</v>
      </c>
      <c r="S410" s="15">
        <v>0</v>
      </c>
      <c r="T410" s="15">
        <v>0</v>
      </c>
      <c r="U410" s="18">
        <v>0</v>
      </c>
    </row>
    <row r="411" spans="1:21" x14ac:dyDescent="0.25">
      <c r="A411" s="19" t="s">
        <v>322</v>
      </c>
      <c r="B411" s="20">
        <v>2026</v>
      </c>
      <c r="C411" s="20" t="s">
        <v>36</v>
      </c>
      <c r="D411" s="20">
        <v>6</v>
      </c>
      <c r="E411" s="21">
        <v>46156</v>
      </c>
      <c r="F411" s="22">
        <v>0.8125</v>
      </c>
      <c r="G411" s="20" t="s">
        <v>18</v>
      </c>
      <c r="H411" s="20" t="s">
        <v>310</v>
      </c>
      <c r="I411" s="20" t="s">
        <v>294</v>
      </c>
      <c r="J411" s="20" t="s">
        <v>10</v>
      </c>
      <c r="K411" s="20" t="s">
        <v>42</v>
      </c>
      <c r="L411" s="20" t="s">
        <v>15</v>
      </c>
      <c r="M411" s="20" t="s">
        <v>48</v>
      </c>
      <c r="N411" s="20" t="s">
        <v>220</v>
      </c>
      <c r="O411" s="20" t="str">
        <f>_xlfn.XLOOKUP(N411,players!A:A,players!D:D,"")</f>
        <v>Ryan Chapman</v>
      </c>
      <c r="P411" s="20" cm="1">
        <f t="array" ref="P411">_xlfn.XLOOKUP(I411&amp;N411,rosterSpots!B:B&amp;rosterSpots!D:D,rosterSpots!E:E,"")</f>
        <v>20</v>
      </c>
      <c r="Q411" s="20">
        <f xml:space="preserve"> (playerGameStats!$R411 * 2) + (playerGameStats!$S411 * 3) + (playerGameStats!$T411)</f>
        <v>2</v>
      </c>
      <c r="R411" s="20">
        <v>1</v>
      </c>
      <c r="S411" s="20">
        <v>0</v>
      </c>
      <c r="T411" s="20">
        <v>0</v>
      </c>
      <c r="U411" s="23">
        <v>0</v>
      </c>
    </row>
    <row r="412" spans="1:21" x14ac:dyDescent="0.25">
      <c r="A412" s="14" t="s">
        <v>322</v>
      </c>
      <c r="B412" s="15">
        <v>2026</v>
      </c>
      <c r="C412" s="15" t="s">
        <v>36</v>
      </c>
      <c r="D412" s="15">
        <v>6</v>
      </c>
      <c r="E412" s="16">
        <v>46156</v>
      </c>
      <c r="F412" s="17">
        <v>0.8125</v>
      </c>
      <c r="G412" s="15" t="s">
        <v>18</v>
      </c>
      <c r="H412" s="15" t="s">
        <v>310</v>
      </c>
      <c r="I412" s="15" t="s">
        <v>294</v>
      </c>
      <c r="J412" s="15" t="s">
        <v>10</v>
      </c>
      <c r="K412" s="15" t="s">
        <v>42</v>
      </c>
      <c r="L412" s="15" t="s">
        <v>15</v>
      </c>
      <c r="M412" s="15" t="s">
        <v>48</v>
      </c>
      <c r="N412" s="15" t="s">
        <v>215</v>
      </c>
      <c r="O412" s="15" t="str">
        <f>_xlfn.XLOOKUP(N412,players!A:A,players!D:D,"")</f>
        <v>Ryan Fontanazza</v>
      </c>
      <c r="P412" s="15" cm="1">
        <f t="array" ref="P412">_xlfn.XLOOKUP(I412&amp;N412,rosterSpots!B:B&amp;rosterSpots!D:D,rosterSpots!E:E,"")</f>
        <v>22</v>
      </c>
      <c r="Q412" s="15">
        <f xml:space="preserve"> (playerGameStats!$R412 * 2) + (playerGameStats!$S412 * 3) + (playerGameStats!$T412)</f>
        <v>17</v>
      </c>
      <c r="R412" s="15">
        <v>1</v>
      </c>
      <c r="S412" s="15">
        <v>3</v>
      </c>
      <c r="T412" s="15">
        <v>6</v>
      </c>
      <c r="U412" s="18">
        <v>9</v>
      </c>
    </row>
    <row r="413" spans="1:21" x14ac:dyDescent="0.25">
      <c r="A413" s="19" t="s">
        <v>322</v>
      </c>
      <c r="B413" s="20">
        <v>2026</v>
      </c>
      <c r="C413" s="20" t="s">
        <v>36</v>
      </c>
      <c r="D413" s="20">
        <v>6</v>
      </c>
      <c r="E413" s="21">
        <v>46156</v>
      </c>
      <c r="F413" s="22">
        <v>0.8125</v>
      </c>
      <c r="G413" s="20" t="s">
        <v>18</v>
      </c>
      <c r="H413" s="20" t="s">
        <v>310</v>
      </c>
      <c r="I413" s="20" t="s">
        <v>294</v>
      </c>
      <c r="J413" s="20" t="s">
        <v>10</v>
      </c>
      <c r="K413" s="20" t="s">
        <v>42</v>
      </c>
      <c r="L413" s="20" t="s">
        <v>15</v>
      </c>
      <c r="M413" s="20" t="s">
        <v>48</v>
      </c>
      <c r="N413" s="20" t="s">
        <v>224</v>
      </c>
      <c r="O413" s="20" t="str">
        <f>_xlfn.XLOOKUP(N413,players!A:A,players!D:D,"")</f>
        <v>MJ Pierre</v>
      </c>
      <c r="P413" s="20" cm="1">
        <f t="array" ref="P413">_xlfn.XLOOKUP(I413&amp;N413,rosterSpots!B:B&amp;rosterSpots!D:D,rosterSpots!E:E,"")</f>
        <v>24</v>
      </c>
      <c r="Q413" s="20">
        <f xml:space="preserve"> (playerGameStats!$R413 * 2) + (playerGameStats!$S413 * 3) + (playerGameStats!$T413)</f>
        <v>0</v>
      </c>
      <c r="R413" s="20">
        <v>0</v>
      </c>
      <c r="S413" s="20">
        <v>0</v>
      </c>
      <c r="T413" s="20">
        <v>0</v>
      </c>
      <c r="U413" s="23">
        <v>0</v>
      </c>
    </row>
    <row r="414" spans="1:21" x14ac:dyDescent="0.25">
      <c r="A414" s="14" t="s">
        <v>322</v>
      </c>
      <c r="B414" s="15">
        <v>2026</v>
      </c>
      <c r="C414" s="15" t="s">
        <v>36</v>
      </c>
      <c r="D414" s="15">
        <v>6</v>
      </c>
      <c r="E414" s="16">
        <v>46156</v>
      </c>
      <c r="F414" s="17">
        <v>0.8125</v>
      </c>
      <c r="G414" s="15" t="s">
        <v>18</v>
      </c>
      <c r="H414" s="15" t="s">
        <v>310</v>
      </c>
      <c r="I414" s="15" t="s">
        <v>294</v>
      </c>
      <c r="J414" s="15" t="s">
        <v>10</v>
      </c>
      <c r="K414" s="15" t="s">
        <v>42</v>
      </c>
      <c r="L414" s="15" t="s">
        <v>15</v>
      </c>
      <c r="M414" s="15" t="s">
        <v>48</v>
      </c>
      <c r="N414" s="15" t="s">
        <v>217</v>
      </c>
      <c r="O414" s="15" t="str">
        <f>_xlfn.XLOOKUP(N414,players!A:A,players!D:D,"")</f>
        <v>Sean Denson</v>
      </c>
      <c r="P414" s="15" cm="1">
        <f t="array" ref="P414">_xlfn.XLOOKUP(I414&amp;N414,rosterSpots!B:B&amp;rosterSpots!D:D,rosterSpots!E:E,"")</f>
        <v>33</v>
      </c>
      <c r="Q414" s="15">
        <f xml:space="preserve"> (playerGameStats!$R414 * 2) + (playerGameStats!$S414 * 3) + (playerGameStats!$T414)</f>
        <v>14</v>
      </c>
      <c r="R414" s="15">
        <v>6</v>
      </c>
      <c r="S414" s="15">
        <v>0</v>
      </c>
      <c r="T414" s="15">
        <v>2</v>
      </c>
      <c r="U414" s="18">
        <v>2</v>
      </c>
    </row>
    <row r="415" spans="1:21" x14ac:dyDescent="0.25">
      <c r="A415" s="19" t="s">
        <v>322</v>
      </c>
      <c r="B415" s="20">
        <v>2026</v>
      </c>
      <c r="C415" s="20" t="s">
        <v>36</v>
      </c>
      <c r="D415" s="20">
        <v>6</v>
      </c>
      <c r="E415" s="21">
        <v>46156</v>
      </c>
      <c r="F415" s="22">
        <v>0.8125</v>
      </c>
      <c r="G415" s="20" t="s">
        <v>18</v>
      </c>
      <c r="H415" s="20" t="s">
        <v>310</v>
      </c>
      <c r="I415" s="20" t="s">
        <v>296</v>
      </c>
      <c r="J415" s="20" t="s">
        <v>15</v>
      </c>
      <c r="K415" s="20" t="s">
        <v>48</v>
      </c>
      <c r="L415" s="20" t="s">
        <v>10</v>
      </c>
      <c r="M415" s="20" t="s">
        <v>42</v>
      </c>
      <c r="N415" s="20" t="s">
        <v>238</v>
      </c>
      <c r="O415" s="20" t="str">
        <f>_xlfn.XLOOKUP(N415,players!A:A,players!D:D,"")</f>
        <v>Derin Sweeney</v>
      </c>
      <c r="P415" s="20" cm="1">
        <f t="array" ref="P415">_xlfn.XLOOKUP(I415&amp;N415,rosterSpots!B:B&amp;rosterSpots!D:D,rosterSpots!E:E,"")</f>
        <v>0</v>
      </c>
      <c r="Q415" s="20">
        <f xml:space="preserve"> (playerGameStats!$R415 * 2) + (playerGameStats!$S415 * 3) + (playerGameStats!$T415)</f>
        <v>9</v>
      </c>
      <c r="R415" s="20">
        <v>0</v>
      </c>
      <c r="S415" s="20">
        <v>3</v>
      </c>
      <c r="T415" s="20">
        <v>0</v>
      </c>
      <c r="U415" s="23">
        <v>1</v>
      </c>
    </row>
    <row r="416" spans="1:21" x14ac:dyDescent="0.25">
      <c r="A416" s="14" t="s">
        <v>322</v>
      </c>
      <c r="B416" s="15">
        <v>2026</v>
      </c>
      <c r="C416" s="15" t="s">
        <v>36</v>
      </c>
      <c r="D416" s="15">
        <v>6</v>
      </c>
      <c r="E416" s="16">
        <v>46156</v>
      </c>
      <c r="F416" s="17">
        <v>0.8125</v>
      </c>
      <c r="G416" s="15" t="s">
        <v>18</v>
      </c>
      <c r="H416" s="15" t="s">
        <v>310</v>
      </c>
      <c r="I416" s="15" t="s">
        <v>296</v>
      </c>
      <c r="J416" s="15" t="s">
        <v>15</v>
      </c>
      <c r="K416" s="15" t="s">
        <v>48</v>
      </c>
      <c r="L416" s="15" t="s">
        <v>10</v>
      </c>
      <c r="M416" s="15" t="s">
        <v>42</v>
      </c>
      <c r="N416" s="15" t="s">
        <v>243</v>
      </c>
      <c r="O416" s="15" t="str">
        <f>_xlfn.XLOOKUP(N416,players!A:A,players!D:D,"")</f>
        <v>Donald Owens</v>
      </c>
      <c r="P416" s="15" cm="1">
        <f t="array" ref="P416">_xlfn.XLOOKUP(I416&amp;N416,rosterSpots!B:B&amp;rosterSpots!D:D,rosterSpots!E:E,"")</f>
        <v>11</v>
      </c>
      <c r="Q416" s="15">
        <f xml:space="preserve"> (playerGameStats!$R416 * 2) + (playerGameStats!$S416 * 3) + (playerGameStats!$T416)</f>
        <v>0</v>
      </c>
      <c r="R416" s="15">
        <v>0</v>
      </c>
      <c r="S416" s="15">
        <v>0</v>
      </c>
      <c r="T416" s="15">
        <v>0</v>
      </c>
      <c r="U416" s="18">
        <v>0</v>
      </c>
    </row>
    <row r="417" spans="1:21" x14ac:dyDescent="0.25">
      <c r="A417" s="19" t="s">
        <v>322</v>
      </c>
      <c r="B417" s="20">
        <v>2026</v>
      </c>
      <c r="C417" s="20" t="s">
        <v>36</v>
      </c>
      <c r="D417" s="20">
        <v>6</v>
      </c>
      <c r="E417" s="21">
        <v>46156</v>
      </c>
      <c r="F417" s="22">
        <v>0.8125</v>
      </c>
      <c r="G417" s="20" t="s">
        <v>18</v>
      </c>
      <c r="H417" s="20" t="s">
        <v>310</v>
      </c>
      <c r="I417" s="20" t="s">
        <v>296</v>
      </c>
      <c r="J417" s="20" t="s">
        <v>15</v>
      </c>
      <c r="K417" s="20" t="s">
        <v>48</v>
      </c>
      <c r="L417" s="20" t="s">
        <v>10</v>
      </c>
      <c r="M417" s="20" t="s">
        <v>42</v>
      </c>
      <c r="N417" s="20" t="s">
        <v>237</v>
      </c>
      <c r="O417" s="20" t="str">
        <f>_xlfn.XLOOKUP(N417,players!A:A,players!D:D,"")</f>
        <v>Zach Rollman</v>
      </c>
      <c r="P417" s="20" cm="1">
        <f t="array" ref="P417">_xlfn.XLOOKUP(I417&amp;N417,rosterSpots!B:B&amp;rosterSpots!D:D,rosterSpots!E:E,"")</f>
        <v>13</v>
      </c>
      <c r="Q417" s="20">
        <f xml:space="preserve"> (playerGameStats!$R417 * 2) + (playerGameStats!$S417 * 3) + (playerGameStats!$T417)</f>
        <v>18</v>
      </c>
      <c r="R417" s="20">
        <v>2</v>
      </c>
      <c r="S417" s="20">
        <v>4</v>
      </c>
      <c r="T417" s="20">
        <v>2</v>
      </c>
      <c r="U417" s="23">
        <v>3</v>
      </c>
    </row>
    <row r="418" spans="1:21" x14ac:dyDescent="0.25">
      <c r="A418" s="14" t="s">
        <v>322</v>
      </c>
      <c r="B418" s="15">
        <v>2026</v>
      </c>
      <c r="C418" s="15" t="s">
        <v>36</v>
      </c>
      <c r="D418" s="15">
        <v>6</v>
      </c>
      <c r="E418" s="16">
        <v>46156</v>
      </c>
      <c r="F418" s="17">
        <v>0.8125</v>
      </c>
      <c r="G418" s="15" t="s">
        <v>18</v>
      </c>
      <c r="H418" s="15" t="s">
        <v>310</v>
      </c>
      <c r="I418" s="15" t="s">
        <v>296</v>
      </c>
      <c r="J418" s="15" t="s">
        <v>15</v>
      </c>
      <c r="K418" s="15" t="s">
        <v>48</v>
      </c>
      <c r="L418" s="15" t="s">
        <v>10</v>
      </c>
      <c r="M418" s="15" t="s">
        <v>42</v>
      </c>
      <c r="N418" s="15" t="s">
        <v>236</v>
      </c>
      <c r="O418" s="15" t="str">
        <f>_xlfn.XLOOKUP(N418,players!A:A,players!D:D,"")</f>
        <v>Jeff Savage</v>
      </c>
      <c r="P418" s="15" cm="1">
        <f t="array" ref="P418">_xlfn.XLOOKUP(I418&amp;N418,rosterSpots!B:B&amp;rosterSpots!D:D,rosterSpots!E:E,"")</f>
        <v>14</v>
      </c>
      <c r="Q418" s="15">
        <f xml:space="preserve"> (playerGameStats!$R418 * 2) + (playerGameStats!$S418 * 3) + (playerGameStats!$T418)</f>
        <v>14</v>
      </c>
      <c r="R418" s="15">
        <v>1</v>
      </c>
      <c r="S418" s="15">
        <v>4</v>
      </c>
      <c r="T418" s="15">
        <v>0</v>
      </c>
      <c r="U418" s="18">
        <v>1</v>
      </c>
    </row>
    <row r="419" spans="1:21" x14ac:dyDescent="0.25">
      <c r="A419" s="19" t="s">
        <v>322</v>
      </c>
      <c r="B419" s="20">
        <v>2026</v>
      </c>
      <c r="C419" s="20" t="s">
        <v>36</v>
      </c>
      <c r="D419" s="20">
        <v>6</v>
      </c>
      <c r="E419" s="21">
        <v>46156</v>
      </c>
      <c r="F419" s="22">
        <v>0.8125</v>
      </c>
      <c r="G419" s="20" t="s">
        <v>18</v>
      </c>
      <c r="H419" s="20" t="s">
        <v>310</v>
      </c>
      <c r="I419" s="20" t="s">
        <v>296</v>
      </c>
      <c r="J419" s="20" t="s">
        <v>15</v>
      </c>
      <c r="K419" s="20" t="s">
        <v>48</v>
      </c>
      <c r="L419" s="20" t="s">
        <v>10</v>
      </c>
      <c r="M419" s="20" t="s">
        <v>42</v>
      </c>
      <c r="N419" s="20" t="s">
        <v>241</v>
      </c>
      <c r="O419" s="20" t="str">
        <f>_xlfn.XLOOKUP(N419,players!A:A,players!D:D,"")</f>
        <v>Brian Clemens</v>
      </c>
      <c r="P419" s="20" cm="1">
        <f t="array" ref="P419">_xlfn.XLOOKUP(I419&amp;N419,rosterSpots!B:B&amp;rosterSpots!D:D,rosterSpots!E:E,"")</f>
        <v>17</v>
      </c>
      <c r="Q419" s="20">
        <f xml:space="preserve"> (playerGameStats!$R419 * 2) + (playerGameStats!$S419 * 3) + (playerGameStats!$T419)</f>
        <v>3</v>
      </c>
      <c r="R419" s="20">
        <v>0</v>
      </c>
      <c r="S419" s="20">
        <v>1</v>
      </c>
      <c r="T419" s="20">
        <v>0</v>
      </c>
      <c r="U419" s="23">
        <v>0</v>
      </c>
    </row>
    <row r="420" spans="1:21" x14ac:dyDescent="0.25">
      <c r="A420" s="14" t="s">
        <v>322</v>
      </c>
      <c r="B420" s="15">
        <v>2026</v>
      </c>
      <c r="C420" s="15" t="s">
        <v>36</v>
      </c>
      <c r="D420" s="15">
        <v>6</v>
      </c>
      <c r="E420" s="16">
        <v>46156</v>
      </c>
      <c r="F420" s="17">
        <v>0.8125</v>
      </c>
      <c r="G420" s="15" t="s">
        <v>18</v>
      </c>
      <c r="H420" s="15" t="s">
        <v>310</v>
      </c>
      <c r="I420" s="15" t="s">
        <v>296</v>
      </c>
      <c r="J420" s="15" t="s">
        <v>15</v>
      </c>
      <c r="K420" s="15" t="s">
        <v>48</v>
      </c>
      <c r="L420" s="15" t="s">
        <v>10</v>
      </c>
      <c r="M420" s="15" t="s">
        <v>42</v>
      </c>
      <c r="N420" s="15" t="s">
        <v>242</v>
      </c>
      <c r="O420" s="15" t="str">
        <f>_xlfn.XLOOKUP(N420,players!A:A,players!D:D,"")</f>
        <v>Jordan Wilcox</v>
      </c>
      <c r="P420" s="15" cm="1">
        <f t="array" ref="P420">_xlfn.XLOOKUP(I420&amp;N420,rosterSpots!B:B&amp;rosterSpots!D:D,rosterSpots!E:E,"")</f>
        <v>24</v>
      </c>
      <c r="Q420" s="15">
        <f xml:space="preserve"> (playerGameStats!$R420 * 2) + (playerGameStats!$S420 * 3) + (playerGameStats!$T420)</f>
        <v>24</v>
      </c>
      <c r="R420" s="15">
        <v>11</v>
      </c>
      <c r="S420" s="15">
        <v>0</v>
      </c>
      <c r="T420" s="15">
        <v>2</v>
      </c>
      <c r="U420" s="18">
        <v>5</v>
      </c>
    </row>
    <row r="421" spans="1:21" x14ac:dyDescent="0.25">
      <c r="A421" s="19" t="s">
        <v>322</v>
      </c>
      <c r="B421" s="20">
        <v>2026</v>
      </c>
      <c r="C421" s="20" t="s">
        <v>36</v>
      </c>
      <c r="D421" s="20">
        <v>6</v>
      </c>
      <c r="E421" s="21">
        <v>46156</v>
      </c>
      <c r="F421" s="22">
        <v>0.8125</v>
      </c>
      <c r="G421" s="20" t="s">
        <v>18</v>
      </c>
      <c r="H421" s="20" t="s">
        <v>310</v>
      </c>
      <c r="I421" s="20" t="s">
        <v>296</v>
      </c>
      <c r="J421" s="20" t="s">
        <v>15</v>
      </c>
      <c r="K421" s="20" t="s">
        <v>48</v>
      </c>
      <c r="L421" s="20" t="s">
        <v>10</v>
      </c>
      <c r="M421" s="20" t="s">
        <v>42</v>
      </c>
      <c r="N421" s="20" t="s">
        <v>239</v>
      </c>
      <c r="O421" s="20" t="str">
        <f>_xlfn.XLOOKUP(N421,players!A:A,players!D:D,"")</f>
        <v>Hakim Jackson</v>
      </c>
      <c r="P421" s="20" cm="1">
        <f t="array" ref="P421">_xlfn.XLOOKUP(I421&amp;N421,rosterSpots!B:B&amp;rosterSpots!D:D,rosterSpots!E:E,"")</f>
        <v>77</v>
      </c>
      <c r="Q421" s="20">
        <f xml:space="preserve"> (playerGameStats!$R421 * 2) + (playerGameStats!$S421 * 3) + (playerGameStats!$T421)</f>
        <v>0</v>
      </c>
      <c r="R421" s="20">
        <v>0</v>
      </c>
      <c r="S421" s="20">
        <v>0</v>
      </c>
      <c r="T421" s="20">
        <v>0</v>
      </c>
      <c r="U421" s="23">
        <v>0</v>
      </c>
    </row>
    <row r="422" spans="1:21" x14ac:dyDescent="0.25">
      <c r="A422" s="14" t="s">
        <v>321</v>
      </c>
      <c r="B422" s="15">
        <v>2026</v>
      </c>
      <c r="C422" s="15" t="s">
        <v>36</v>
      </c>
      <c r="D422" s="15">
        <v>6</v>
      </c>
      <c r="E422" s="16">
        <v>46156</v>
      </c>
      <c r="F422" s="17">
        <v>0.85416666666666663</v>
      </c>
      <c r="G422" s="15" t="s">
        <v>19</v>
      </c>
      <c r="H422" s="15" t="s">
        <v>310</v>
      </c>
      <c r="I422" s="15" t="s">
        <v>299</v>
      </c>
      <c r="J422" s="15" t="s">
        <v>14</v>
      </c>
      <c r="K422" s="15" t="s">
        <v>43</v>
      </c>
      <c r="L422" s="15" t="s">
        <v>12</v>
      </c>
      <c r="M422" s="15" t="s">
        <v>46</v>
      </c>
      <c r="N422" s="15" t="s">
        <v>271</v>
      </c>
      <c r="O422" s="15" t="str">
        <f>_xlfn.XLOOKUP(N422,players!A:A,players!D:D,"")</f>
        <v>Courtney Cubbage</v>
      </c>
      <c r="P422" s="15" cm="1">
        <f t="array" ref="P422">_xlfn.XLOOKUP(I422&amp;N422,rosterSpots!B:B&amp;rosterSpots!D:D,rosterSpots!E:E,"")</f>
        <v>1</v>
      </c>
      <c r="Q422" s="15">
        <f xml:space="preserve"> (playerGameStats!$R422 * 2) + (playerGameStats!$S422 * 3) + (playerGameStats!$T422)</f>
        <v>19</v>
      </c>
      <c r="R422" s="15">
        <v>8</v>
      </c>
      <c r="S422" s="15">
        <v>1</v>
      </c>
      <c r="T422" s="15">
        <v>0</v>
      </c>
      <c r="U422" s="18">
        <v>0</v>
      </c>
    </row>
    <row r="423" spans="1:21" x14ac:dyDescent="0.25">
      <c r="A423" s="19" t="s">
        <v>321</v>
      </c>
      <c r="B423" s="20">
        <v>2026</v>
      </c>
      <c r="C423" s="20" t="s">
        <v>36</v>
      </c>
      <c r="D423" s="20">
        <v>6</v>
      </c>
      <c r="E423" s="21">
        <v>46156</v>
      </c>
      <c r="F423" s="22">
        <v>0.85416666666666663</v>
      </c>
      <c r="G423" s="20" t="s">
        <v>19</v>
      </c>
      <c r="H423" s="20" t="s">
        <v>310</v>
      </c>
      <c r="I423" s="20" t="s">
        <v>299</v>
      </c>
      <c r="J423" s="20" t="s">
        <v>14</v>
      </c>
      <c r="K423" s="20" t="s">
        <v>43</v>
      </c>
      <c r="L423" s="20" t="s">
        <v>12</v>
      </c>
      <c r="M423" s="20" t="s">
        <v>46</v>
      </c>
      <c r="N423" s="20" t="s">
        <v>268</v>
      </c>
      <c r="O423" s="20" t="str">
        <f>_xlfn.XLOOKUP(N423,players!A:A,players!D:D,"")</f>
        <v>Bassang Atoulelou</v>
      </c>
      <c r="P423" s="20" cm="1">
        <f t="array" ref="P423">_xlfn.XLOOKUP(I423&amp;N423,rosterSpots!B:B&amp;rosterSpots!D:D,rosterSpots!E:E,"")</f>
        <v>2</v>
      </c>
      <c r="Q423" s="20">
        <f xml:space="preserve"> (playerGameStats!$R423 * 2) + (playerGameStats!$S423 * 3) + (playerGameStats!$T423)</f>
        <v>2</v>
      </c>
      <c r="R423" s="20">
        <v>1</v>
      </c>
      <c r="S423" s="20">
        <v>0</v>
      </c>
      <c r="T423" s="20">
        <v>0</v>
      </c>
      <c r="U423" s="23">
        <v>0</v>
      </c>
    </row>
    <row r="424" spans="1:21" x14ac:dyDescent="0.25">
      <c r="A424" s="19" t="s">
        <v>321</v>
      </c>
      <c r="B424" s="20">
        <v>2026</v>
      </c>
      <c r="C424" s="20" t="s">
        <v>36</v>
      </c>
      <c r="D424" s="20">
        <v>6</v>
      </c>
      <c r="E424" s="21">
        <v>46156</v>
      </c>
      <c r="F424" s="22">
        <v>0.85416666666666663</v>
      </c>
      <c r="G424" s="20" t="s">
        <v>19</v>
      </c>
      <c r="H424" s="20" t="s">
        <v>310</v>
      </c>
      <c r="I424" s="20" t="s">
        <v>299</v>
      </c>
      <c r="J424" s="20" t="s">
        <v>14</v>
      </c>
      <c r="K424" s="20" t="s">
        <v>43</v>
      </c>
      <c r="L424" s="20" t="s">
        <v>12</v>
      </c>
      <c r="M424" s="20" t="s">
        <v>46</v>
      </c>
      <c r="N424" s="20" t="s">
        <v>267</v>
      </c>
      <c r="O424" s="20" t="str">
        <f>_xlfn.XLOOKUP(N424,players!A:A,players!D:D,"")</f>
        <v>Keshon Coleman</v>
      </c>
      <c r="P424" s="20" cm="1">
        <f t="array" ref="P424">_xlfn.XLOOKUP(I424&amp;N424,rosterSpots!B:B&amp;rosterSpots!D:D,rosterSpots!E:E,"")</f>
        <v>4</v>
      </c>
      <c r="Q424" s="20">
        <f xml:space="preserve"> (playerGameStats!$R424 * 2) + (playerGameStats!$S424 * 3) + (playerGameStats!$T424)</f>
        <v>10</v>
      </c>
      <c r="R424" s="20">
        <v>5</v>
      </c>
      <c r="S424" s="20">
        <v>0</v>
      </c>
      <c r="T424" s="20">
        <v>0</v>
      </c>
      <c r="U424" s="23">
        <v>0</v>
      </c>
    </row>
    <row r="425" spans="1:21" x14ac:dyDescent="0.25">
      <c r="A425" s="14" t="s">
        <v>321</v>
      </c>
      <c r="B425" s="15">
        <v>2026</v>
      </c>
      <c r="C425" s="15" t="s">
        <v>36</v>
      </c>
      <c r="D425" s="15">
        <v>6</v>
      </c>
      <c r="E425" s="16">
        <v>46156</v>
      </c>
      <c r="F425" s="17">
        <v>0.85416666666666663</v>
      </c>
      <c r="G425" s="15" t="s">
        <v>19</v>
      </c>
      <c r="H425" s="15" t="s">
        <v>310</v>
      </c>
      <c r="I425" s="15" t="s">
        <v>299</v>
      </c>
      <c r="J425" s="15" t="s">
        <v>14</v>
      </c>
      <c r="K425" s="15" t="s">
        <v>43</v>
      </c>
      <c r="L425" s="15" t="s">
        <v>12</v>
      </c>
      <c r="M425" s="15" t="s">
        <v>46</v>
      </c>
      <c r="N425" s="15" t="s">
        <v>264</v>
      </c>
      <c r="O425" s="15" t="str">
        <f>_xlfn.XLOOKUP(N425,players!A:A,players!D:D,"")</f>
        <v/>
      </c>
      <c r="P425" s="15" cm="1">
        <f t="array" ref="P425">_xlfn.XLOOKUP(I425&amp;N425,rosterSpots!B:B&amp;rosterSpots!D:D,rosterSpots!E:E,"")</f>
        <v>6</v>
      </c>
      <c r="Q425" s="15">
        <f xml:space="preserve"> (playerGameStats!$R425 * 2) + (playerGameStats!$S425 * 3) + (playerGameStats!$T425)</f>
        <v>6</v>
      </c>
      <c r="R425" s="15">
        <v>1</v>
      </c>
      <c r="S425" s="15">
        <v>1</v>
      </c>
      <c r="T425" s="15">
        <v>1</v>
      </c>
      <c r="U425" s="18">
        <v>2</v>
      </c>
    </row>
    <row r="426" spans="1:21" x14ac:dyDescent="0.25">
      <c r="A426" s="19" t="s">
        <v>321</v>
      </c>
      <c r="B426" s="20">
        <v>2026</v>
      </c>
      <c r="C426" s="20" t="s">
        <v>36</v>
      </c>
      <c r="D426" s="20">
        <v>6</v>
      </c>
      <c r="E426" s="21">
        <v>46156</v>
      </c>
      <c r="F426" s="22">
        <v>0.85416666666666663</v>
      </c>
      <c r="G426" s="20" t="s">
        <v>19</v>
      </c>
      <c r="H426" s="20" t="s">
        <v>310</v>
      </c>
      <c r="I426" s="20" t="s">
        <v>299</v>
      </c>
      <c r="J426" s="20" t="s">
        <v>14</v>
      </c>
      <c r="K426" s="20" t="s">
        <v>43</v>
      </c>
      <c r="L426" s="20" t="s">
        <v>12</v>
      </c>
      <c r="M426" s="20" t="s">
        <v>46</v>
      </c>
      <c r="N426" s="20" t="s">
        <v>270</v>
      </c>
      <c r="O426" s="20" t="str">
        <f>_xlfn.XLOOKUP(N426,players!A:A,players!D:D,"")</f>
        <v>Thomas Lynen</v>
      </c>
      <c r="P426" s="20" cm="1">
        <f t="array" ref="P426">_xlfn.XLOOKUP(I426&amp;N426,rosterSpots!B:B&amp;rosterSpots!D:D,rosterSpots!E:E,"")</f>
        <v>7</v>
      </c>
      <c r="Q426" s="20">
        <f xml:space="preserve"> (playerGameStats!$R426 * 2) + (playerGameStats!$S426 * 3) + (playerGameStats!$T426)</f>
        <v>0</v>
      </c>
      <c r="R426" s="20">
        <v>0</v>
      </c>
      <c r="S426" s="20">
        <v>0</v>
      </c>
      <c r="T426" s="20">
        <v>0</v>
      </c>
      <c r="U426" s="23">
        <v>0</v>
      </c>
    </row>
    <row r="427" spans="1:21" x14ac:dyDescent="0.25">
      <c r="A427" s="19" t="s">
        <v>321</v>
      </c>
      <c r="B427" s="20">
        <v>2026</v>
      </c>
      <c r="C427" s="20" t="s">
        <v>36</v>
      </c>
      <c r="D427" s="20">
        <v>6</v>
      </c>
      <c r="E427" s="21">
        <v>46156</v>
      </c>
      <c r="F427" s="22">
        <v>0.85416666666666663</v>
      </c>
      <c r="G427" s="20" t="s">
        <v>19</v>
      </c>
      <c r="H427" s="20" t="s">
        <v>310</v>
      </c>
      <c r="I427" s="20" t="s">
        <v>299</v>
      </c>
      <c r="J427" s="20" t="s">
        <v>14</v>
      </c>
      <c r="K427" s="20" t="s">
        <v>43</v>
      </c>
      <c r="L427" s="20" t="s">
        <v>12</v>
      </c>
      <c r="M427" s="20" t="s">
        <v>46</v>
      </c>
      <c r="N427" s="20" t="s">
        <v>262</v>
      </c>
      <c r="O427" s="20" t="str">
        <f>_xlfn.XLOOKUP(N427,players!A:A,players!D:D,"")</f>
        <v>Connor Thomas</v>
      </c>
      <c r="P427" s="20" cm="1">
        <f t="array" ref="P427">_xlfn.XLOOKUP(I427&amp;N427,rosterSpots!B:B&amp;rosterSpots!D:D,rosterSpots!E:E,"")</f>
        <v>9</v>
      </c>
      <c r="Q427" s="20">
        <f xml:space="preserve"> (playerGameStats!$R427 * 2) + (playerGameStats!$S427 * 3) + (playerGameStats!$T427)</f>
        <v>2</v>
      </c>
      <c r="R427" s="20">
        <v>1</v>
      </c>
      <c r="S427" s="20">
        <v>0</v>
      </c>
      <c r="T427" s="20">
        <v>0</v>
      </c>
      <c r="U427" s="23">
        <v>0</v>
      </c>
    </row>
    <row r="428" spans="1:21" x14ac:dyDescent="0.25">
      <c r="A428" s="19" t="s">
        <v>321</v>
      </c>
      <c r="B428" s="20">
        <v>2026</v>
      </c>
      <c r="C428" s="20" t="s">
        <v>36</v>
      </c>
      <c r="D428" s="20">
        <v>6</v>
      </c>
      <c r="E428" s="21">
        <v>46156</v>
      </c>
      <c r="F428" s="22">
        <v>0.85416666666666663</v>
      </c>
      <c r="G428" s="20" t="s">
        <v>19</v>
      </c>
      <c r="H428" s="20" t="s">
        <v>310</v>
      </c>
      <c r="I428" s="20" t="s">
        <v>299</v>
      </c>
      <c r="J428" s="20" t="s">
        <v>14</v>
      </c>
      <c r="K428" s="20" t="s">
        <v>43</v>
      </c>
      <c r="L428" s="20" t="s">
        <v>12</v>
      </c>
      <c r="M428" s="20" t="s">
        <v>46</v>
      </c>
      <c r="N428" s="20" t="s">
        <v>266</v>
      </c>
      <c r="O428" s="20" t="str">
        <f>_xlfn.XLOOKUP(N428,players!A:A,players!D:D,"")</f>
        <v>Ian McCaw</v>
      </c>
      <c r="P428" s="20" cm="1">
        <f t="array" ref="P428">_xlfn.XLOOKUP(I428&amp;N428,rosterSpots!B:B&amp;rosterSpots!D:D,rosterSpots!E:E,"")</f>
        <v>50</v>
      </c>
      <c r="Q428" s="20">
        <f xml:space="preserve"> (playerGameStats!$R428 * 2) + (playerGameStats!$S428 * 3) + (playerGameStats!$T428)</f>
        <v>4</v>
      </c>
      <c r="R428" s="20">
        <v>2</v>
      </c>
      <c r="S428" s="20">
        <v>0</v>
      </c>
      <c r="T428" s="20">
        <v>0</v>
      </c>
      <c r="U428" s="23">
        <v>0</v>
      </c>
    </row>
    <row r="429" spans="1:21" x14ac:dyDescent="0.25">
      <c r="A429" s="19" t="s">
        <v>321</v>
      </c>
      <c r="B429" s="20">
        <v>2026</v>
      </c>
      <c r="C429" s="20" t="s">
        <v>36</v>
      </c>
      <c r="D429" s="20">
        <v>6</v>
      </c>
      <c r="E429" s="21">
        <v>46156</v>
      </c>
      <c r="F429" s="22">
        <v>0.85416666666666663</v>
      </c>
      <c r="G429" s="20" t="s">
        <v>19</v>
      </c>
      <c r="H429" s="20" t="s">
        <v>310</v>
      </c>
      <c r="I429" s="20" t="s">
        <v>298</v>
      </c>
      <c r="J429" s="20" t="s">
        <v>12</v>
      </c>
      <c r="K429" s="20" t="s">
        <v>46</v>
      </c>
      <c r="L429" s="20" t="s">
        <v>14</v>
      </c>
      <c r="M429" s="20" t="s">
        <v>43</v>
      </c>
      <c r="N429" s="20" t="s">
        <v>260</v>
      </c>
      <c r="O429" s="20" t="str">
        <f>_xlfn.XLOOKUP(N429,players!A:A,players!D:D,"")</f>
        <v>Manthan Tailor</v>
      </c>
      <c r="P429" s="20" cm="1">
        <f t="array" ref="P429">_xlfn.XLOOKUP(I429&amp;N429,rosterSpots!B:B&amp;rosterSpots!D:D,rosterSpots!E:E,"")</f>
        <v>2</v>
      </c>
      <c r="Q429" s="20">
        <f xml:space="preserve"> (playerGameStats!$R429 * 2) + (playerGameStats!$S429 * 3) + (playerGameStats!$T429)</f>
        <v>0</v>
      </c>
      <c r="R429" s="20">
        <v>0</v>
      </c>
      <c r="S429" s="20">
        <v>0</v>
      </c>
      <c r="T429" s="20">
        <v>0</v>
      </c>
      <c r="U429" s="23">
        <v>0</v>
      </c>
    </row>
    <row r="430" spans="1:21" x14ac:dyDescent="0.25">
      <c r="A430" s="14" t="s">
        <v>321</v>
      </c>
      <c r="B430" s="15">
        <v>2026</v>
      </c>
      <c r="C430" s="15" t="s">
        <v>36</v>
      </c>
      <c r="D430" s="15">
        <v>6</v>
      </c>
      <c r="E430" s="16">
        <v>46156</v>
      </c>
      <c r="F430" s="17">
        <v>0.85416666666666663</v>
      </c>
      <c r="G430" s="15" t="s">
        <v>19</v>
      </c>
      <c r="H430" s="15" t="s">
        <v>310</v>
      </c>
      <c r="I430" s="15" t="s">
        <v>298</v>
      </c>
      <c r="J430" s="15" t="s">
        <v>12</v>
      </c>
      <c r="K430" s="15" t="s">
        <v>46</v>
      </c>
      <c r="L430" s="15" t="s">
        <v>14</v>
      </c>
      <c r="M430" s="15" t="s">
        <v>43</v>
      </c>
      <c r="N430" s="15" t="s">
        <v>253</v>
      </c>
      <c r="O430" s="15" t="str">
        <f>_xlfn.XLOOKUP(N430,players!A:A,players!D:D,"")</f>
        <v>Doug Adams</v>
      </c>
      <c r="P430" s="15" cm="1">
        <f t="array" ref="P430">_xlfn.XLOOKUP(I430&amp;N430,rosterSpots!B:B&amp;rosterSpots!D:D,rosterSpots!E:E,"")</f>
        <v>3</v>
      </c>
      <c r="Q430" s="15">
        <f xml:space="preserve"> (playerGameStats!$R430 * 2) + (playerGameStats!$S430 * 3) + (playerGameStats!$T430)</f>
        <v>13</v>
      </c>
      <c r="R430" s="15">
        <v>2</v>
      </c>
      <c r="S430" s="15">
        <v>2</v>
      </c>
      <c r="T430" s="15">
        <v>3</v>
      </c>
      <c r="U430" s="18">
        <v>4</v>
      </c>
    </row>
    <row r="431" spans="1:21" x14ac:dyDescent="0.25">
      <c r="A431" s="19" t="s">
        <v>321</v>
      </c>
      <c r="B431" s="20">
        <v>2026</v>
      </c>
      <c r="C431" s="20" t="s">
        <v>36</v>
      </c>
      <c r="D431" s="20">
        <v>6</v>
      </c>
      <c r="E431" s="21">
        <v>46156</v>
      </c>
      <c r="F431" s="22">
        <v>0.85416666666666663</v>
      </c>
      <c r="G431" s="20" t="s">
        <v>19</v>
      </c>
      <c r="H431" s="20" t="s">
        <v>310</v>
      </c>
      <c r="I431" s="20" t="s">
        <v>298</v>
      </c>
      <c r="J431" s="20" t="s">
        <v>12</v>
      </c>
      <c r="K431" s="20" t="s">
        <v>46</v>
      </c>
      <c r="L431" s="20" t="s">
        <v>14</v>
      </c>
      <c r="M431" s="20" t="s">
        <v>43</v>
      </c>
      <c r="N431" s="20" t="s">
        <v>257</v>
      </c>
      <c r="O431" s="20" t="str">
        <f>_xlfn.XLOOKUP(N431,players!A:A,players!D:D,"")</f>
        <v>Janos Vajda</v>
      </c>
      <c r="P431" s="20" cm="1">
        <f t="array" ref="P431">_xlfn.XLOOKUP(I431&amp;N431,rosterSpots!B:B&amp;rosterSpots!D:D,rosterSpots!E:E,"")</f>
        <v>5</v>
      </c>
      <c r="Q431" s="20">
        <f xml:space="preserve"> (playerGameStats!$R431 * 2) + (playerGameStats!$S431 * 3) + (playerGameStats!$T431)</f>
        <v>4</v>
      </c>
      <c r="R431" s="20">
        <v>0</v>
      </c>
      <c r="S431" s="20">
        <v>1</v>
      </c>
      <c r="T431" s="20">
        <v>1</v>
      </c>
      <c r="U431" s="23">
        <v>2</v>
      </c>
    </row>
    <row r="432" spans="1:21" x14ac:dyDescent="0.25">
      <c r="A432" s="14" t="s">
        <v>321</v>
      </c>
      <c r="B432" s="15">
        <v>2026</v>
      </c>
      <c r="C432" s="15" t="s">
        <v>36</v>
      </c>
      <c r="D432" s="15">
        <v>6</v>
      </c>
      <c r="E432" s="16">
        <v>46156</v>
      </c>
      <c r="F432" s="17">
        <v>0.85416666666666663</v>
      </c>
      <c r="G432" s="15" t="s">
        <v>19</v>
      </c>
      <c r="H432" s="15" t="s">
        <v>310</v>
      </c>
      <c r="I432" s="15" t="s">
        <v>298</v>
      </c>
      <c r="J432" s="15" t="s">
        <v>12</v>
      </c>
      <c r="K432" s="15" t="s">
        <v>46</v>
      </c>
      <c r="L432" s="15" t="s">
        <v>14</v>
      </c>
      <c r="M432" s="15" t="s">
        <v>43</v>
      </c>
      <c r="N432" s="15" t="s">
        <v>258</v>
      </c>
      <c r="O432" s="15" t="str">
        <f>_xlfn.XLOOKUP(N432,players!A:A,players!D:D,"")</f>
        <v>Brett Ziller</v>
      </c>
      <c r="P432" s="15" cm="1">
        <f t="array" ref="P432">_xlfn.XLOOKUP(I432&amp;N432,rosterSpots!B:B&amp;rosterSpots!D:D,rosterSpots!E:E,"")</f>
        <v>8</v>
      </c>
      <c r="Q432" s="15">
        <f xml:space="preserve"> (playerGameStats!$R432 * 2) + (playerGameStats!$S432 * 3) + (playerGameStats!$T432)</f>
        <v>24</v>
      </c>
      <c r="R432" s="15">
        <v>7</v>
      </c>
      <c r="S432" s="15">
        <v>3</v>
      </c>
      <c r="T432" s="15">
        <v>1</v>
      </c>
      <c r="U432" s="18">
        <v>2</v>
      </c>
    </row>
    <row r="433" spans="1:21" x14ac:dyDescent="0.25">
      <c r="A433" s="14" t="s">
        <v>321</v>
      </c>
      <c r="B433" s="15">
        <v>2026</v>
      </c>
      <c r="C433" s="15" t="s">
        <v>36</v>
      </c>
      <c r="D433" s="15">
        <v>6</v>
      </c>
      <c r="E433" s="16">
        <v>46156</v>
      </c>
      <c r="F433" s="17">
        <v>0.85416666666666663</v>
      </c>
      <c r="G433" s="15" t="s">
        <v>19</v>
      </c>
      <c r="H433" s="15" t="s">
        <v>310</v>
      </c>
      <c r="I433" s="15" t="s">
        <v>298</v>
      </c>
      <c r="J433" s="15" t="s">
        <v>12</v>
      </c>
      <c r="K433" s="15" t="s">
        <v>46</v>
      </c>
      <c r="L433" s="15" t="s">
        <v>14</v>
      </c>
      <c r="M433" s="15" t="s">
        <v>43</v>
      </c>
      <c r="N433" s="15" t="s">
        <v>255</v>
      </c>
      <c r="O433" s="15" t="str">
        <f>_xlfn.XLOOKUP(N433,players!A:A,players!D:D,"")</f>
        <v>Connor Stine</v>
      </c>
      <c r="P433" s="15" cm="1">
        <f t="array" ref="P433">_xlfn.XLOOKUP(I433&amp;N433,rosterSpots!B:B&amp;rosterSpots!D:D,rosterSpots!E:E,"")</f>
        <v>14</v>
      </c>
      <c r="Q433" s="15">
        <f xml:space="preserve"> (playerGameStats!$R433 * 2) + (playerGameStats!$S433 * 3) + (playerGameStats!$T433)</f>
        <v>0</v>
      </c>
      <c r="R433" s="15">
        <v>0</v>
      </c>
      <c r="S433" s="15">
        <v>0</v>
      </c>
      <c r="T433" s="15">
        <v>0</v>
      </c>
      <c r="U433" s="18">
        <v>0</v>
      </c>
    </row>
    <row r="434" spans="1:21" x14ac:dyDescent="0.25">
      <c r="A434" s="19" t="s">
        <v>321</v>
      </c>
      <c r="B434" s="20">
        <v>2026</v>
      </c>
      <c r="C434" s="20" t="s">
        <v>36</v>
      </c>
      <c r="D434" s="20">
        <v>6</v>
      </c>
      <c r="E434" s="21">
        <v>46156</v>
      </c>
      <c r="F434" s="22">
        <v>0.85416666666666663</v>
      </c>
      <c r="G434" s="20" t="s">
        <v>19</v>
      </c>
      <c r="H434" s="20" t="s">
        <v>310</v>
      </c>
      <c r="I434" s="20" t="s">
        <v>298</v>
      </c>
      <c r="J434" s="20" t="s">
        <v>12</v>
      </c>
      <c r="K434" s="20" t="s">
        <v>46</v>
      </c>
      <c r="L434" s="20" t="s">
        <v>14</v>
      </c>
      <c r="M434" s="20" t="s">
        <v>43</v>
      </c>
      <c r="N434" s="20" t="s">
        <v>256</v>
      </c>
      <c r="O434" s="20" t="str">
        <f>_xlfn.XLOOKUP(N434,players!A:A,players!D:D,"")</f>
        <v>Sragvi Tirumala</v>
      </c>
      <c r="P434" s="20" cm="1">
        <f t="array" ref="P434">_xlfn.XLOOKUP(I434&amp;N434,rosterSpots!B:B&amp;rosterSpots!D:D,rosterSpots!E:E,"")</f>
        <v>17</v>
      </c>
      <c r="Q434" s="20">
        <f xml:space="preserve"> (playerGameStats!$R434 * 2) + (playerGameStats!$S434 * 3) + (playerGameStats!$T434)</f>
        <v>4</v>
      </c>
      <c r="R434" s="20">
        <v>2</v>
      </c>
      <c r="S434" s="20">
        <v>0</v>
      </c>
      <c r="T434" s="20">
        <v>0</v>
      </c>
      <c r="U434" s="23">
        <v>1</v>
      </c>
    </row>
    <row r="435" spans="1:21" x14ac:dyDescent="0.25">
      <c r="A435" s="14" t="s">
        <v>321</v>
      </c>
      <c r="B435" s="15">
        <v>2026</v>
      </c>
      <c r="C435" s="15" t="s">
        <v>36</v>
      </c>
      <c r="D435" s="15">
        <v>6</v>
      </c>
      <c r="E435" s="16">
        <v>46156</v>
      </c>
      <c r="F435" s="17">
        <v>0.85416666666666663</v>
      </c>
      <c r="G435" s="15" t="s">
        <v>19</v>
      </c>
      <c r="H435" s="15" t="s">
        <v>310</v>
      </c>
      <c r="I435" s="15" t="s">
        <v>298</v>
      </c>
      <c r="J435" s="15" t="s">
        <v>12</v>
      </c>
      <c r="K435" s="15" t="s">
        <v>46</v>
      </c>
      <c r="L435" s="15" t="s">
        <v>14</v>
      </c>
      <c r="M435" s="15" t="s">
        <v>43</v>
      </c>
      <c r="N435" s="15" t="s">
        <v>259</v>
      </c>
      <c r="O435" s="15" t="str">
        <f>_xlfn.XLOOKUP(N435,players!A:A,players!D:D,"")</f>
        <v>Allen Harley</v>
      </c>
      <c r="P435" s="15" cm="1">
        <f t="array" ref="P435">_xlfn.XLOOKUP(I435&amp;N435,rosterSpots!B:B&amp;rosterSpots!D:D,rosterSpots!E:E,"")</f>
        <v>21</v>
      </c>
      <c r="Q435" s="15">
        <f xml:space="preserve"> (playerGameStats!$R435 * 2) + (playerGameStats!$S435 * 3) + (playerGameStats!$T435)</f>
        <v>4</v>
      </c>
      <c r="R435" s="15">
        <v>2</v>
      </c>
      <c r="S435" s="15">
        <v>0</v>
      </c>
      <c r="T435" s="15">
        <v>0</v>
      </c>
      <c r="U435" s="18">
        <v>5</v>
      </c>
    </row>
    <row r="436" spans="1:21" x14ac:dyDescent="0.25">
      <c r="A436" s="19" t="s">
        <v>321</v>
      </c>
      <c r="B436" s="20">
        <v>2026</v>
      </c>
      <c r="C436" s="20" t="s">
        <v>36</v>
      </c>
      <c r="D436" s="20">
        <v>6</v>
      </c>
      <c r="E436" s="21">
        <v>46156</v>
      </c>
      <c r="F436" s="22">
        <v>0.85416666666666663</v>
      </c>
      <c r="G436" s="20" t="s">
        <v>19</v>
      </c>
      <c r="H436" s="20" t="s">
        <v>310</v>
      </c>
      <c r="I436" s="20" t="s">
        <v>298</v>
      </c>
      <c r="J436" s="20" t="s">
        <v>12</v>
      </c>
      <c r="K436" s="20" t="s">
        <v>46</v>
      </c>
      <c r="L436" s="20" t="s">
        <v>14</v>
      </c>
      <c r="M436" s="20" t="s">
        <v>43</v>
      </c>
      <c r="N436" s="20" t="s">
        <v>261</v>
      </c>
      <c r="O436" s="20" t="str">
        <f>_xlfn.XLOOKUP(N436,players!A:A,players!D:D,"")</f>
        <v>Ricky Riaz</v>
      </c>
      <c r="P436" s="20" cm="1">
        <f t="array" ref="P436">_xlfn.XLOOKUP(I436&amp;N436,rosterSpots!B:B&amp;rosterSpots!D:D,rosterSpots!E:E,"")</f>
        <v>30</v>
      </c>
      <c r="Q436" s="20">
        <f xml:space="preserve"> (playerGameStats!$R436 * 2) + (playerGameStats!$S436 * 3) + (playerGameStats!$T436)</f>
        <v>0</v>
      </c>
      <c r="R436" s="20">
        <v>0</v>
      </c>
      <c r="S436" s="20">
        <v>0</v>
      </c>
      <c r="T436" s="20">
        <v>0</v>
      </c>
      <c r="U436" s="23">
        <v>0</v>
      </c>
    </row>
    <row r="437" spans="1:21" x14ac:dyDescent="0.25">
      <c r="A437" s="14" t="s">
        <v>320</v>
      </c>
      <c r="B437" s="15">
        <v>2026</v>
      </c>
      <c r="C437" s="15" t="s">
        <v>36</v>
      </c>
      <c r="D437" s="15">
        <v>7</v>
      </c>
      <c r="E437" s="16">
        <v>46160</v>
      </c>
      <c r="F437" s="17">
        <v>0.77083333333333337</v>
      </c>
      <c r="G437" s="15" t="s">
        <v>18</v>
      </c>
      <c r="H437" s="15" t="s">
        <v>310</v>
      </c>
      <c r="I437" s="15" t="s">
        <v>300</v>
      </c>
      <c r="J437" s="15" t="s">
        <v>16</v>
      </c>
      <c r="K437" s="15" t="s">
        <v>44</v>
      </c>
      <c r="L437" s="15" t="s">
        <v>12</v>
      </c>
      <c r="M437" s="15" t="s">
        <v>46</v>
      </c>
      <c r="N437" s="15" t="s">
        <v>277</v>
      </c>
      <c r="O437" s="15" t="str">
        <f>_xlfn.XLOOKUP(N437,players!A:A,players!D:D,"")</f>
        <v>Kevin Carroll</v>
      </c>
      <c r="P437" s="15" cm="1">
        <f t="array" ref="P437">_xlfn.XLOOKUP(I437&amp;N437,rosterSpots!B:B&amp;rosterSpots!D:D,rosterSpots!E:E,"")</f>
        <v>2</v>
      </c>
      <c r="Q437" s="15">
        <f xml:space="preserve"> (playerGameStats!$R437 * 2) + (playerGameStats!$S437 * 3) + (playerGameStats!$T437)</f>
        <v>16</v>
      </c>
      <c r="R437" s="15">
        <v>2</v>
      </c>
      <c r="S437" s="15">
        <v>4</v>
      </c>
      <c r="T437" s="15">
        <v>0</v>
      </c>
      <c r="U437" s="18">
        <v>0</v>
      </c>
    </row>
    <row r="438" spans="1:21" x14ac:dyDescent="0.25">
      <c r="A438" s="19" t="s">
        <v>320</v>
      </c>
      <c r="B438" s="20">
        <v>2026</v>
      </c>
      <c r="C438" s="20" t="s">
        <v>36</v>
      </c>
      <c r="D438" s="20">
        <v>7</v>
      </c>
      <c r="E438" s="21">
        <v>46160</v>
      </c>
      <c r="F438" s="22">
        <v>0.77083333333333337</v>
      </c>
      <c r="G438" s="15" t="s">
        <v>18</v>
      </c>
      <c r="H438" s="20" t="s">
        <v>310</v>
      </c>
      <c r="I438" s="20" t="s">
        <v>300</v>
      </c>
      <c r="J438" s="20" t="s">
        <v>16</v>
      </c>
      <c r="K438" s="20" t="s">
        <v>44</v>
      </c>
      <c r="L438" s="20" t="s">
        <v>12</v>
      </c>
      <c r="M438" s="20" t="s">
        <v>46</v>
      </c>
      <c r="N438" s="20" t="s">
        <v>281</v>
      </c>
      <c r="O438" s="20" t="str">
        <f>_xlfn.XLOOKUP(N438,players!A:A,players!D:D,"")</f>
        <v>Tommy Zheng</v>
      </c>
      <c r="P438" s="20" cm="1">
        <f t="array" ref="P438">_xlfn.XLOOKUP(I438&amp;N438,rosterSpots!B:B&amp;rosterSpots!D:D,rosterSpots!E:E,"")</f>
        <v>5</v>
      </c>
      <c r="Q438" s="20">
        <f xml:space="preserve"> (playerGameStats!$R438 * 2) + (playerGameStats!$S438 * 3) + (playerGameStats!$T438)</f>
        <v>0</v>
      </c>
      <c r="R438" s="20">
        <v>0</v>
      </c>
      <c r="S438" s="20">
        <v>0</v>
      </c>
      <c r="T438" s="20">
        <v>0</v>
      </c>
      <c r="U438" s="23">
        <v>0</v>
      </c>
    </row>
    <row r="439" spans="1:21" x14ac:dyDescent="0.25">
      <c r="A439" s="19" t="s">
        <v>320</v>
      </c>
      <c r="B439" s="20">
        <v>2026</v>
      </c>
      <c r="C439" s="20" t="s">
        <v>36</v>
      </c>
      <c r="D439" s="20">
        <v>7</v>
      </c>
      <c r="E439" s="21">
        <v>46160</v>
      </c>
      <c r="F439" s="22">
        <v>0.77083333333333337</v>
      </c>
      <c r="G439" s="15" t="s">
        <v>18</v>
      </c>
      <c r="H439" s="20" t="s">
        <v>310</v>
      </c>
      <c r="I439" s="20" t="s">
        <v>300</v>
      </c>
      <c r="J439" s="20" t="s">
        <v>16</v>
      </c>
      <c r="K439" s="20" t="s">
        <v>44</v>
      </c>
      <c r="L439" s="20" t="s">
        <v>12</v>
      </c>
      <c r="M439" s="20" t="s">
        <v>46</v>
      </c>
      <c r="N439" s="20" t="s">
        <v>275</v>
      </c>
      <c r="O439" s="20" t="str">
        <f>_xlfn.XLOOKUP(N439,players!A:A,players!D:D,"")</f>
        <v>Thomas Hays</v>
      </c>
      <c r="P439" s="20" cm="1">
        <f t="array" ref="P439">_xlfn.XLOOKUP(I439&amp;N439,rosterSpots!B:B&amp;rosterSpots!D:D,rosterSpots!E:E,"")</f>
        <v>8</v>
      </c>
      <c r="Q439" s="20">
        <f xml:space="preserve"> (playerGameStats!$R439 * 2) + (playerGameStats!$S439 * 3) + (playerGameStats!$T439)</f>
        <v>19</v>
      </c>
      <c r="R439" s="20">
        <v>8</v>
      </c>
      <c r="S439" s="20">
        <v>1</v>
      </c>
      <c r="T439" s="20">
        <v>0</v>
      </c>
      <c r="U439" s="23">
        <v>0</v>
      </c>
    </row>
    <row r="440" spans="1:21" x14ac:dyDescent="0.25">
      <c r="A440" s="14" t="s">
        <v>320</v>
      </c>
      <c r="B440" s="15">
        <v>2026</v>
      </c>
      <c r="C440" s="15" t="s">
        <v>36</v>
      </c>
      <c r="D440" s="15">
        <v>7</v>
      </c>
      <c r="E440" s="16">
        <v>46160</v>
      </c>
      <c r="F440" s="17">
        <v>0.77083333333333337</v>
      </c>
      <c r="G440" s="15" t="s">
        <v>18</v>
      </c>
      <c r="H440" s="15" t="s">
        <v>310</v>
      </c>
      <c r="I440" s="15" t="s">
        <v>300</v>
      </c>
      <c r="J440" s="15" t="s">
        <v>16</v>
      </c>
      <c r="K440" s="15" t="s">
        <v>44</v>
      </c>
      <c r="L440" s="15" t="s">
        <v>12</v>
      </c>
      <c r="M440" s="15" t="s">
        <v>46</v>
      </c>
      <c r="N440" s="15" t="s">
        <v>278</v>
      </c>
      <c r="O440" s="15" t="str">
        <f>_xlfn.XLOOKUP(N440,players!A:A,players!D:D,"")</f>
        <v>Douglas Alexander</v>
      </c>
      <c r="P440" s="15" cm="1">
        <f t="array" ref="P440">_xlfn.XLOOKUP(I440&amp;N440,rosterSpots!B:B&amp;rosterSpots!D:D,rosterSpots!E:E,"")</f>
        <v>10</v>
      </c>
      <c r="Q440" s="15">
        <f xml:space="preserve"> (playerGameStats!$R440 * 2) + (playerGameStats!$S440 * 3) + (playerGameStats!$T440)</f>
        <v>12</v>
      </c>
      <c r="R440" s="15">
        <v>4</v>
      </c>
      <c r="S440" s="15">
        <v>0</v>
      </c>
      <c r="T440" s="15">
        <v>4</v>
      </c>
      <c r="U440" s="18">
        <v>5</v>
      </c>
    </row>
    <row r="441" spans="1:21" x14ac:dyDescent="0.25">
      <c r="A441" s="19" t="s">
        <v>320</v>
      </c>
      <c r="B441" s="20">
        <v>2026</v>
      </c>
      <c r="C441" s="20" t="s">
        <v>36</v>
      </c>
      <c r="D441" s="20">
        <v>7</v>
      </c>
      <c r="E441" s="21">
        <v>46160</v>
      </c>
      <c r="F441" s="22">
        <v>0.77083333333333337</v>
      </c>
      <c r="G441" s="15" t="s">
        <v>18</v>
      </c>
      <c r="H441" s="20" t="s">
        <v>310</v>
      </c>
      <c r="I441" s="20" t="s">
        <v>300</v>
      </c>
      <c r="J441" s="20" t="s">
        <v>16</v>
      </c>
      <c r="K441" s="20" t="s">
        <v>44</v>
      </c>
      <c r="L441" s="20" t="s">
        <v>12</v>
      </c>
      <c r="M441" s="20" t="s">
        <v>46</v>
      </c>
      <c r="N441" s="20" t="s">
        <v>273</v>
      </c>
      <c r="O441" s="20" t="str">
        <f>_xlfn.XLOOKUP(N441,players!A:A,players!D:D,"")</f>
        <v>Travis Gibbs</v>
      </c>
      <c r="P441" s="20" cm="1">
        <f t="array" ref="P441">_xlfn.XLOOKUP(I441&amp;N441,rosterSpots!B:B&amp;rosterSpots!D:D,rosterSpots!E:E,"")</f>
        <v>11</v>
      </c>
      <c r="Q441" s="20">
        <f xml:space="preserve"> (playerGameStats!$R441 * 2) + (playerGameStats!$S441 * 3) + (playerGameStats!$T441)</f>
        <v>5</v>
      </c>
      <c r="R441" s="20">
        <v>0</v>
      </c>
      <c r="S441" s="20">
        <v>1</v>
      </c>
      <c r="T441" s="20">
        <v>2</v>
      </c>
      <c r="U441" s="23">
        <v>2</v>
      </c>
    </row>
    <row r="442" spans="1:21" x14ac:dyDescent="0.25">
      <c r="A442" s="14" t="s">
        <v>320</v>
      </c>
      <c r="B442" s="15">
        <v>2026</v>
      </c>
      <c r="C442" s="15" t="s">
        <v>36</v>
      </c>
      <c r="D442" s="15">
        <v>7</v>
      </c>
      <c r="E442" s="16">
        <v>46160</v>
      </c>
      <c r="F442" s="17">
        <v>0.77083333333333337</v>
      </c>
      <c r="G442" s="15" t="s">
        <v>18</v>
      </c>
      <c r="H442" s="15" t="s">
        <v>310</v>
      </c>
      <c r="I442" s="15" t="s">
        <v>300</v>
      </c>
      <c r="J442" s="15" t="s">
        <v>16</v>
      </c>
      <c r="K442" s="15" t="s">
        <v>44</v>
      </c>
      <c r="L442" s="15" t="s">
        <v>12</v>
      </c>
      <c r="M442" s="15" t="s">
        <v>46</v>
      </c>
      <c r="N442" s="15" t="s">
        <v>279</v>
      </c>
      <c r="O442" s="15" t="str">
        <f>_xlfn.XLOOKUP(N442,players!A:A,players!D:D,"")</f>
        <v>Jose Toledo</v>
      </c>
      <c r="P442" s="15" cm="1">
        <f t="array" ref="P442">_xlfn.XLOOKUP(I442&amp;N442,rosterSpots!B:B&amp;rosterSpots!D:D,rosterSpots!E:E,"")</f>
        <v>25</v>
      </c>
      <c r="Q442" s="15">
        <f xml:space="preserve"> (playerGameStats!$R442 * 2) + (playerGameStats!$S442 * 3) + (playerGameStats!$T442)</f>
        <v>4</v>
      </c>
      <c r="R442" s="15">
        <v>2</v>
      </c>
      <c r="S442" s="15">
        <v>0</v>
      </c>
      <c r="T442" s="15">
        <v>0</v>
      </c>
      <c r="U442" s="18">
        <v>0</v>
      </c>
    </row>
    <row r="443" spans="1:21" x14ac:dyDescent="0.25">
      <c r="A443" s="19" t="s">
        <v>320</v>
      </c>
      <c r="B443" s="20">
        <v>2026</v>
      </c>
      <c r="C443" s="20" t="s">
        <v>36</v>
      </c>
      <c r="D443" s="20">
        <v>7</v>
      </c>
      <c r="E443" s="21">
        <v>46160</v>
      </c>
      <c r="F443" s="22">
        <v>0.77083333333333337</v>
      </c>
      <c r="G443" s="15" t="s">
        <v>18</v>
      </c>
      <c r="H443" s="20" t="s">
        <v>310</v>
      </c>
      <c r="I443" s="20" t="s">
        <v>300</v>
      </c>
      <c r="J443" s="20" t="s">
        <v>16</v>
      </c>
      <c r="K443" s="20" t="s">
        <v>44</v>
      </c>
      <c r="L443" s="20" t="s">
        <v>12</v>
      </c>
      <c r="M443" s="20" t="s">
        <v>46</v>
      </c>
      <c r="N443" s="20" t="s">
        <v>280</v>
      </c>
      <c r="O443" s="20" t="str">
        <f>_xlfn.XLOOKUP(N443,players!A:A,players!D:D,"")</f>
        <v>Russel Verceles</v>
      </c>
      <c r="P443" s="20" cm="1">
        <f t="array" ref="P443">_xlfn.XLOOKUP(I443&amp;N443,rosterSpots!B:B&amp;rosterSpots!D:D,rosterSpots!E:E,"")</f>
        <v>32</v>
      </c>
      <c r="Q443" s="20">
        <f xml:space="preserve"> (playerGameStats!$R443 * 2) + (playerGameStats!$S443 * 3) + (playerGameStats!$T443)</f>
        <v>4</v>
      </c>
      <c r="R443" s="20">
        <v>2</v>
      </c>
      <c r="S443" s="20">
        <v>0</v>
      </c>
      <c r="T443" s="20">
        <v>0</v>
      </c>
      <c r="U443" s="23">
        <v>0</v>
      </c>
    </row>
    <row r="444" spans="1:21" x14ac:dyDescent="0.25">
      <c r="A444" s="14" t="s">
        <v>320</v>
      </c>
      <c r="B444" s="15">
        <v>2026</v>
      </c>
      <c r="C444" s="15" t="s">
        <v>36</v>
      </c>
      <c r="D444" s="15">
        <v>7</v>
      </c>
      <c r="E444" s="16">
        <v>46160</v>
      </c>
      <c r="F444" s="17">
        <v>0.77083333333333337</v>
      </c>
      <c r="G444" s="15" t="s">
        <v>18</v>
      </c>
      <c r="H444" s="15" t="s">
        <v>310</v>
      </c>
      <c r="I444" s="15" t="s">
        <v>298</v>
      </c>
      <c r="J444" s="15" t="s">
        <v>12</v>
      </c>
      <c r="K444" s="15" t="s">
        <v>46</v>
      </c>
      <c r="L444" s="15" t="s">
        <v>16</v>
      </c>
      <c r="M444" s="15" t="s">
        <v>44</v>
      </c>
      <c r="N444" s="15" t="s">
        <v>260</v>
      </c>
      <c r="O444" s="15" t="str">
        <f>_xlfn.XLOOKUP(N444,players!A:A,players!D:D,"")</f>
        <v>Manthan Tailor</v>
      </c>
      <c r="P444" s="15" cm="1">
        <f t="array" ref="P444">_xlfn.XLOOKUP(I444&amp;N444,rosterSpots!B:B&amp;rosterSpots!D:D,rosterSpots!E:E,"")</f>
        <v>2</v>
      </c>
      <c r="Q444" s="15">
        <f xml:space="preserve"> (playerGameStats!$R444 * 2) + (playerGameStats!$S444 * 3) + (playerGameStats!$T444)</f>
        <v>7</v>
      </c>
      <c r="R444" s="15">
        <v>2</v>
      </c>
      <c r="S444" s="15">
        <v>1</v>
      </c>
      <c r="T444" s="15">
        <v>0</v>
      </c>
      <c r="U444" s="18">
        <v>0</v>
      </c>
    </row>
    <row r="445" spans="1:21" x14ac:dyDescent="0.25">
      <c r="A445" s="19" t="s">
        <v>320</v>
      </c>
      <c r="B445" s="20">
        <v>2026</v>
      </c>
      <c r="C445" s="20" t="s">
        <v>36</v>
      </c>
      <c r="D445" s="20">
        <v>7</v>
      </c>
      <c r="E445" s="21">
        <v>46160</v>
      </c>
      <c r="F445" s="22">
        <v>0.77083333333333337</v>
      </c>
      <c r="G445" s="15" t="s">
        <v>18</v>
      </c>
      <c r="H445" s="20" t="s">
        <v>310</v>
      </c>
      <c r="I445" s="20" t="s">
        <v>298</v>
      </c>
      <c r="J445" s="20" t="s">
        <v>12</v>
      </c>
      <c r="K445" s="20" t="s">
        <v>46</v>
      </c>
      <c r="L445" s="20" t="s">
        <v>16</v>
      </c>
      <c r="M445" s="20" t="s">
        <v>44</v>
      </c>
      <c r="N445" s="20" t="s">
        <v>253</v>
      </c>
      <c r="O445" s="20" t="str">
        <f>_xlfn.XLOOKUP(N445,players!A:A,players!D:D,"")</f>
        <v>Doug Adams</v>
      </c>
      <c r="P445" s="20" cm="1">
        <f t="array" ref="P445">_xlfn.XLOOKUP(I445&amp;N445,rosterSpots!B:B&amp;rosterSpots!D:D,rosterSpots!E:E,"")</f>
        <v>3</v>
      </c>
      <c r="Q445" s="20">
        <f xml:space="preserve"> (playerGameStats!$R445 * 2) + (playerGameStats!$S445 * 3) + (playerGameStats!$T445)</f>
        <v>18</v>
      </c>
      <c r="R445" s="20">
        <v>5</v>
      </c>
      <c r="S445" s="20">
        <v>2</v>
      </c>
      <c r="T445" s="20">
        <v>2</v>
      </c>
      <c r="U445" s="23">
        <v>2</v>
      </c>
    </row>
    <row r="446" spans="1:21" x14ac:dyDescent="0.25">
      <c r="A446" s="14" t="s">
        <v>320</v>
      </c>
      <c r="B446" s="15">
        <v>2026</v>
      </c>
      <c r="C446" s="15" t="s">
        <v>36</v>
      </c>
      <c r="D446" s="15">
        <v>7</v>
      </c>
      <c r="E446" s="16">
        <v>46160</v>
      </c>
      <c r="F446" s="17">
        <v>0.77083333333333337</v>
      </c>
      <c r="G446" s="15" t="s">
        <v>18</v>
      </c>
      <c r="H446" s="15" t="s">
        <v>310</v>
      </c>
      <c r="I446" s="15" t="s">
        <v>298</v>
      </c>
      <c r="J446" s="15" t="s">
        <v>12</v>
      </c>
      <c r="K446" s="15" t="s">
        <v>46</v>
      </c>
      <c r="L446" s="15" t="s">
        <v>16</v>
      </c>
      <c r="M446" s="15" t="s">
        <v>44</v>
      </c>
      <c r="N446" s="15" t="s">
        <v>257</v>
      </c>
      <c r="O446" s="15" t="str">
        <f>_xlfn.XLOOKUP(N446,players!A:A,players!D:D,"")</f>
        <v>Janos Vajda</v>
      </c>
      <c r="P446" s="15" cm="1">
        <f t="array" ref="P446">_xlfn.XLOOKUP(I446&amp;N446,rosterSpots!B:B&amp;rosterSpots!D:D,rosterSpots!E:E,"")</f>
        <v>5</v>
      </c>
      <c r="Q446" s="15">
        <f xml:space="preserve"> (playerGameStats!$R446 * 2) + (playerGameStats!$S446 * 3) + (playerGameStats!$T446)</f>
        <v>3</v>
      </c>
      <c r="R446" s="15">
        <v>0</v>
      </c>
      <c r="S446" s="15">
        <v>1</v>
      </c>
      <c r="T446" s="15">
        <v>0</v>
      </c>
      <c r="U446" s="18">
        <v>0</v>
      </c>
    </row>
    <row r="447" spans="1:21" x14ac:dyDescent="0.25">
      <c r="A447" s="14" t="s">
        <v>320</v>
      </c>
      <c r="B447" s="15">
        <v>2026</v>
      </c>
      <c r="C447" s="15" t="s">
        <v>36</v>
      </c>
      <c r="D447" s="15">
        <v>7</v>
      </c>
      <c r="E447" s="16">
        <v>46160</v>
      </c>
      <c r="F447" s="17">
        <v>0.77083333333333337</v>
      </c>
      <c r="G447" s="15" t="s">
        <v>18</v>
      </c>
      <c r="H447" s="15" t="s">
        <v>310</v>
      </c>
      <c r="I447" s="15" t="s">
        <v>298</v>
      </c>
      <c r="J447" s="15" t="s">
        <v>12</v>
      </c>
      <c r="K447" s="15" t="s">
        <v>46</v>
      </c>
      <c r="L447" s="15" t="s">
        <v>16</v>
      </c>
      <c r="M447" s="15" t="s">
        <v>44</v>
      </c>
      <c r="N447" s="15" t="s">
        <v>254</v>
      </c>
      <c r="O447" s="15" t="str">
        <f>_xlfn.XLOOKUP(N447,players!A:A,players!D:D,"")</f>
        <v>Kelechi Madu</v>
      </c>
      <c r="P447" s="15" cm="1">
        <f t="array" ref="P447">_xlfn.XLOOKUP(I447&amp;N447,rosterSpots!B:B&amp;rosterSpots!D:D,rosterSpots!E:E,"")</f>
        <v>13</v>
      </c>
      <c r="Q447" s="15">
        <f xml:space="preserve"> (playerGameStats!$R447 * 2) + (playerGameStats!$S447 * 3) + (playerGameStats!$T447)</f>
        <v>3</v>
      </c>
      <c r="R447" s="15">
        <v>0</v>
      </c>
      <c r="S447" s="15">
        <v>1</v>
      </c>
      <c r="T447" s="15">
        <v>0</v>
      </c>
      <c r="U447" s="18">
        <v>0</v>
      </c>
    </row>
    <row r="448" spans="1:21" x14ac:dyDescent="0.25">
      <c r="A448" s="19" t="s">
        <v>320</v>
      </c>
      <c r="B448" s="20">
        <v>2026</v>
      </c>
      <c r="C448" s="20" t="s">
        <v>36</v>
      </c>
      <c r="D448" s="20">
        <v>7</v>
      </c>
      <c r="E448" s="21">
        <v>46160</v>
      </c>
      <c r="F448" s="22">
        <v>0.77083333333333337</v>
      </c>
      <c r="G448" s="15" t="s">
        <v>18</v>
      </c>
      <c r="H448" s="20" t="s">
        <v>310</v>
      </c>
      <c r="I448" s="20" t="s">
        <v>298</v>
      </c>
      <c r="J448" s="20" t="s">
        <v>12</v>
      </c>
      <c r="K448" s="20" t="s">
        <v>46</v>
      </c>
      <c r="L448" s="20" t="s">
        <v>16</v>
      </c>
      <c r="M448" s="20" t="s">
        <v>44</v>
      </c>
      <c r="N448" s="20" t="s">
        <v>255</v>
      </c>
      <c r="O448" s="20" t="str">
        <f>_xlfn.XLOOKUP(N448,players!A:A,players!D:D,"")</f>
        <v>Connor Stine</v>
      </c>
      <c r="P448" s="20" cm="1">
        <f t="array" ref="P448">_xlfn.XLOOKUP(I448&amp;N448,rosterSpots!B:B&amp;rosterSpots!D:D,rosterSpots!E:E,"")</f>
        <v>14</v>
      </c>
      <c r="Q448" s="20">
        <f xml:space="preserve"> (playerGameStats!$R448 * 2) + (playerGameStats!$S448 * 3) + (playerGameStats!$T448)</f>
        <v>0</v>
      </c>
      <c r="R448" s="20">
        <v>0</v>
      </c>
      <c r="S448" s="20">
        <v>0</v>
      </c>
      <c r="T448" s="20">
        <v>0</v>
      </c>
      <c r="U448" s="23">
        <v>0</v>
      </c>
    </row>
    <row r="449" spans="1:21" x14ac:dyDescent="0.25">
      <c r="A449" s="14" t="s">
        <v>320</v>
      </c>
      <c r="B449" s="15">
        <v>2026</v>
      </c>
      <c r="C449" s="15" t="s">
        <v>36</v>
      </c>
      <c r="D449" s="15">
        <v>7</v>
      </c>
      <c r="E449" s="16">
        <v>46160</v>
      </c>
      <c r="F449" s="17">
        <v>0.77083333333333337</v>
      </c>
      <c r="G449" s="15" t="s">
        <v>18</v>
      </c>
      <c r="H449" s="15" t="s">
        <v>310</v>
      </c>
      <c r="I449" s="15" t="s">
        <v>298</v>
      </c>
      <c r="J449" s="15" t="s">
        <v>12</v>
      </c>
      <c r="K449" s="15" t="s">
        <v>46</v>
      </c>
      <c r="L449" s="15" t="s">
        <v>16</v>
      </c>
      <c r="M449" s="15" t="s">
        <v>44</v>
      </c>
      <c r="N449" s="15" t="s">
        <v>256</v>
      </c>
      <c r="O449" s="15" t="str">
        <f>_xlfn.XLOOKUP(N449,players!A:A,players!D:D,"")</f>
        <v>Sragvi Tirumala</v>
      </c>
      <c r="P449" s="15" cm="1">
        <f t="array" ref="P449">_xlfn.XLOOKUP(I449&amp;N449,rosterSpots!B:B&amp;rosterSpots!D:D,rosterSpots!E:E,"")</f>
        <v>17</v>
      </c>
      <c r="Q449" s="15">
        <f xml:space="preserve"> (playerGameStats!$R449 * 2) + (playerGameStats!$S449 * 3) + (playerGameStats!$T449)</f>
        <v>5</v>
      </c>
      <c r="R449" s="15">
        <v>1</v>
      </c>
      <c r="S449" s="15">
        <v>1</v>
      </c>
      <c r="T449" s="15">
        <v>0</v>
      </c>
      <c r="U449" s="18">
        <v>0</v>
      </c>
    </row>
    <row r="450" spans="1:21" x14ac:dyDescent="0.25">
      <c r="A450" s="19" t="s">
        <v>320</v>
      </c>
      <c r="B450" s="20">
        <v>2026</v>
      </c>
      <c r="C450" s="20" t="s">
        <v>36</v>
      </c>
      <c r="D450" s="20">
        <v>7</v>
      </c>
      <c r="E450" s="21">
        <v>46160</v>
      </c>
      <c r="F450" s="22">
        <v>0.77083333333333337</v>
      </c>
      <c r="G450" s="15" t="s">
        <v>18</v>
      </c>
      <c r="H450" s="20" t="s">
        <v>310</v>
      </c>
      <c r="I450" s="20" t="s">
        <v>298</v>
      </c>
      <c r="J450" s="20" t="s">
        <v>12</v>
      </c>
      <c r="K450" s="20" t="s">
        <v>46</v>
      </c>
      <c r="L450" s="20" t="s">
        <v>16</v>
      </c>
      <c r="M450" s="20" t="s">
        <v>44</v>
      </c>
      <c r="N450" s="20" t="s">
        <v>259</v>
      </c>
      <c r="O450" s="20" t="str">
        <f>_xlfn.XLOOKUP(N450,players!A:A,players!D:D,"")</f>
        <v>Allen Harley</v>
      </c>
      <c r="P450" s="20" cm="1">
        <f t="array" ref="P450">_xlfn.XLOOKUP(I450&amp;N450,rosterSpots!B:B&amp;rosterSpots!D:D,rosterSpots!E:E,"")</f>
        <v>21</v>
      </c>
      <c r="Q450" s="20">
        <f xml:space="preserve"> (playerGameStats!$R450 * 2) + (playerGameStats!$S450 * 3) + (playerGameStats!$T450)</f>
        <v>9</v>
      </c>
      <c r="R450" s="20">
        <v>4</v>
      </c>
      <c r="S450" s="20">
        <v>0</v>
      </c>
      <c r="T450" s="20">
        <v>1</v>
      </c>
      <c r="U450" s="23">
        <v>2</v>
      </c>
    </row>
    <row r="451" spans="1:21" x14ac:dyDescent="0.25">
      <c r="A451" s="14" t="s">
        <v>320</v>
      </c>
      <c r="B451" s="15">
        <v>2026</v>
      </c>
      <c r="C451" s="15" t="s">
        <v>36</v>
      </c>
      <c r="D451" s="15">
        <v>7</v>
      </c>
      <c r="E451" s="16">
        <v>46160</v>
      </c>
      <c r="F451" s="17">
        <v>0.77083333333333337</v>
      </c>
      <c r="G451" s="15" t="s">
        <v>18</v>
      </c>
      <c r="H451" s="15" t="s">
        <v>310</v>
      </c>
      <c r="I451" s="15" t="s">
        <v>298</v>
      </c>
      <c r="J451" s="15" t="s">
        <v>12</v>
      </c>
      <c r="K451" s="15" t="s">
        <v>46</v>
      </c>
      <c r="L451" s="15" t="s">
        <v>16</v>
      </c>
      <c r="M451" s="15" t="s">
        <v>44</v>
      </c>
      <c r="N451" s="15" t="s">
        <v>261</v>
      </c>
      <c r="O451" s="15" t="str">
        <f>_xlfn.XLOOKUP(N451,players!A:A,players!D:D,"")</f>
        <v>Ricky Riaz</v>
      </c>
      <c r="P451" s="15" cm="1">
        <f t="array" ref="P451">_xlfn.XLOOKUP(I451&amp;N451,rosterSpots!B:B&amp;rosterSpots!D:D,rosterSpots!E:E,"")</f>
        <v>30</v>
      </c>
      <c r="Q451" s="15">
        <f xml:space="preserve"> (playerGameStats!$R451 * 2) + (playerGameStats!$S451 * 3) + (playerGameStats!$T451)</f>
        <v>0</v>
      </c>
      <c r="R451" s="15">
        <v>0</v>
      </c>
      <c r="S451" s="15">
        <v>0</v>
      </c>
      <c r="T451" s="15">
        <v>0</v>
      </c>
      <c r="U451" s="18">
        <v>0</v>
      </c>
    </row>
    <row r="452" spans="1:21" x14ac:dyDescent="0.25">
      <c r="A452" s="19" t="s">
        <v>319</v>
      </c>
      <c r="B452" s="20">
        <v>2026</v>
      </c>
      <c r="C452" s="20" t="s">
        <v>36</v>
      </c>
      <c r="D452" s="20">
        <v>7</v>
      </c>
      <c r="E452" s="21">
        <v>46160</v>
      </c>
      <c r="F452" s="22">
        <v>0.85416666666666663</v>
      </c>
      <c r="G452" s="20" t="s">
        <v>18</v>
      </c>
      <c r="H452" s="20" t="s">
        <v>310</v>
      </c>
      <c r="I452" s="20" t="s">
        <v>295</v>
      </c>
      <c r="J452" s="20" t="s">
        <v>11</v>
      </c>
      <c r="K452" s="20" t="s">
        <v>45</v>
      </c>
      <c r="L452" s="20" t="s">
        <v>13</v>
      </c>
      <c r="M452" s="20" t="s">
        <v>47</v>
      </c>
      <c r="N452" s="20" t="s">
        <v>232</v>
      </c>
      <c r="O452" s="20" t="str">
        <f>_xlfn.XLOOKUP(N452,players!A:A,players!D:D,"")</f>
        <v>Patrick Bellino</v>
      </c>
      <c r="P452" s="20" cm="1">
        <f t="array" ref="P452">_xlfn.XLOOKUP(I452&amp;N452,rosterSpots!B:B&amp;rosterSpots!D:D,rosterSpots!E:E,"")</f>
        <v>1</v>
      </c>
      <c r="Q452" s="20">
        <f xml:space="preserve"> (playerGameStats!$R452 * 2) + (playerGameStats!$S452 * 3) + (playerGameStats!$T452)</f>
        <v>4</v>
      </c>
      <c r="R452" s="20">
        <v>2</v>
      </c>
      <c r="S452" s="20">
        <v>0</v>
      </c>
      <c r="T452" s="20">
        <v>0</v>
      </c>
      <c r="U452" s="23">
        <v>0</v>
      </c>
    </row>
    <row r="453" spans="1:21" x14ac:dyDescent="0.25">
      <c r="A453" s="14" t="s">
        <v>319</v>
      </c>
      <c r="B453" s="15">
        <v>2026</v>
      </c>
      <c r="C453" s="15" t="s">
        <v>36</v>
      </c>
      <c r="D453" s="15">
        <v>7</v>
      </c>
      <c r="E453" s="16">
        <v>46160</v>
      </c>
      <c r="F453" s="17">
        <v>0.85416666666666663</v>
      </c>
      <c r="G453" s="15" t="s">
        <v>18</v>
      </c>
      <c r="H453" s="15" t="s">
        <v>310</v>
      </c>
      <c r="I453" s="15" t="s">
        <v>295</v>
      </c>
      <c r="J453" s="15" t="s">
        <v>11</v>
      </c>
      <c r="K453" s="15" t="s">
        <v>45</v>
      </c>
      <c r="L453" s="15" t="s">
        <v>13</v>
      </c>
      <c r="M453" s="15" t="s">
        <v>47</v>
      </c>
      <c r="N453" s="15" t="s">
        <v>226</v>
      </c>
      <c r="O453" s="15" t="str">
        <f>_xlfn.XLOOKUP(N453,players!A:A,players!D:D,"")</f>
        <v>Mike Ziller</v>
      </c>
      <c r="P453" s="15" cm="1">
        <f t="array" ref="P453">_xlfn.XLOOKUP(I453&amp;N453,rosterSpots!B:B&amp;rosterSpots!D:D,rosterSpots!E:E,"")</f>
        <v>2</v>
      </c>
      <c r="Q453" s="15">
        <f xml:space="preserve"> (playerGameStats!$R453 * 2) + (playerGameStats!$S453 * 3) + (playerGameStats!$T453)</f>
        <v>19</v>
      </c>
      <c r="R453" s="15">
        <v>8</v>
      </c>
      <c r="S453" s="15">
        <v>1</v>
      </c>
      <c r="T453" s="15">
        <v>0</v>
      </c>
      <c r="U453" s="18">
        <v>0</v>
      </c>
    </row>
    <row r="454" spans="1:21" x14ac:dyDescent="0.25">
      <c r="A454" s="14" t="s">
        <v>319</v>
      </c>
      <c r="B454" s="15">
        <v>2026</v>
      </c>
      <c r="C454" s="15" t="s">
        <v>36</v>
      </c>
      <c r="D454" s="15">
        <v>7</v>
      </c>
      <c r="E454" s="16">
        <v>46160</v>
      </c>
      <c r="F454" s="17">
        <v>0.85416666666666663</v>
      </c>
      <c r="G454" s="20" t="s">
        <v>18</v>
      </c>
      <c r="H454" s="15" t="s">
        <v>310</v>
      </c>
      <c r="I454" s="15" t="s">
        <v>295</v>
      </c>
      <c r="J454" s="15" t="s">
        <v>11</v>
      </c>
      <c r="K454" s="15" t="s">
        <v>45</v>
      </c>
      <c r="L454" s="15" t="s">
        <v>13</v>
      </c>
      <c r="M454" s="15" t="s">
        <v>47</v>
      </c>
      <c r="N454" s="15" t="s">
        <v>230</v>
      </c>
      <c r="O454" s="15" t="str">
        <f>_xlfn.XLOOKUP(N454,players!A:A,players!D:D,"")</f>
        <v>Angel Carrion</v>
      </c>
      <c r="P454" s="15" cm="1">
        <f t="array" ref="P454">_xlfn.XLOOKUP(I454&amp;N454,rosterSpots!B:B&amp;rosterSpots!D:D,rosterSpots!E:E,"")</f>
        <v>7</v>
      </c>
      <c r="Q454" s="15">
        <f xml:space="preserve"> (playerGameStats!$R454 * 2) + (playerGameStats!$S454 * 3) + (playerGameStats!$T454)</f>
        <v>6</v>
      </c>
      <c r="R454" s="15">
        <v>3</v>
      </c>
      <c r="S454" s="15">
        <v>0</v>
      </c>
      <c r="T454" s="15">
        <v>0</v>
      </c>
      <c r="U454" s="18">
        <v>0</v>
      </c>
    </row>
    <row r="455" spans="1:21" x14ac:dyDescent="0.25">
      <c r="A455" s="19" t="s">
        <v>319</v>
      </c>
      <c r="B455" s="20">
        <v>2026</v>
      </c>
      <c r="C455" s="20" t="s">
        <v>36</v>
      </c>
      <c r="D455" s="20">
        <v>7</v>
      </c>
      <c r="E455" s="21">
        <v>46160</v>
      </c>
      <c r="F455" s="22">
        <v>0.85416666666666663</v>
      </c>
      <c r="G455" s="20" t="s">
        <v>18</v>
      </c>
      <c r="H455" s="20" t="s">
        <v>310</v>
      </c>
      <c r="I455" s="20" t="s">
        <v>295</v>
      </c>
      <c r="J455" s="20" t="s">
        <v>11</v>
      </c>
      <c r="K455" s="20" t="s">
        <v>45</v>
      </c>
      <c r="L455" s="20" t="s">
        <v>13</v>
      </c>
      <c r="M455" s="20" t="s">
        <v>47</v>
      </c>
      <c r="N455" s="20" t="s">
        <v>307</v>
      </c>
      <c r="O455" s="20" t="str">
        <f>_xlfn.XLOOKUP(N455,players!A:A,players!D:D,"")</f>
        <v>Thomas Nasto</v>
      </c>
      <c r="P455" s="20" cm="1">
        <f t="array" ref="P455">_xlfn.XLOOKUP(I455&amp;N455,rosterSpots!B:B&amp;rosterSpots!D:D,rosterSpots!E:E,"")</f>
        <v>9</v>
      </c>
      <c r="Q455" s="20">
        <f xml:space="preserve"> (playerGameStats!$R455 * 2) + (playerGameStats!$S455 * 3) + (playerGameStats!$T455)</f>
        <v>6</v>
      </c>
      <c r="R455" s="20">
        <v>3</v>
      </c>
      <c r="S455" s="20">
        <v>0</v>
      </c>
      <c r="T455" s="20">
        <v>0</v>
      </c>
      <c r="U455" s="23">
        <v>0</v>
      </c>
    </row>
    <row r="456" spans="1:21" x14ac:dyDescent="0.25">
      <c r="A456" s="14" t="s">
        <v>319</v>
      </c>
      <c r="B456" s="15">
        <v>2026</v>
      </c>
      <c r="C456" s="15" t="s">
        <v>36</v>
      </c>
      <c r="D456" s="15">
        <v>7</v>
      </c>
      <c r="E456" s="16">
        <v>46160</v>
      </c>
      <c r="F456" s="17">
        <v>0.85416666666666663</v>
      </c>
      <c r="G456" s="20" t="s">
        <v>18</v>
      </c>
      <c r="H456" s="15" t="s">
        <v>310</v>
      </c>
      <c r="I456" s="15" t="s">
        <v>295</v>
      </c>
      <c r="J456" s="15" t="s">
        <v>11</v>
      </c>
      <c r="K456" s="15" t="s">
        <v>45</v>
      </c>
      <c r="L456" s="15" t="s">
        <v>13</v>
      </c>
      <c r="M456" s="15" t="s">
        <v>47</v>
      </c>
      <c r="N456" s="15" t="s">
        <v>228</v>
      </c>
      <c r="O456" s="15" t="str">
        <f>_xlfn.XLOOKUP(N456,players!A:A,players!D:D,"")</f>
        <v>Scott Brusseler</v>
      </c>
      <c r="P456" s="15" cm="1">
        <f t="array" ref="P456">_xlfn.XLOOKUP(I456&amp;N456,rosterSpots!B:B&amp;rosterSpots!D:D,rosterSpots!E:E,"")</f>
        <v>14</v>
      </c>
      <c r="Q456" s="15">
        <f xml:space="preserve"> (playerGameStats!$R456 * 2) + (playerGameStats!$S456 * 3) + (playerGameStats!$T456)</f>
        <v>13</v>
      </c>
      <c r="R456" s="15">
        <v>6</v>
      </c>
      <c r="S456" s="15">
        <v>0</v>
      </c>
      <c r="T456" s="15">
        <v>1</v>
      </c>
      <c r="U456" s="18">
        <v>1</v>
      </c>
    </row>
    <row r="457" spans="1:21" x14ac:dyDescent="0.25">
      <c r="A457" s="19" t="s">
        <v>319</v>
      </c>
      <c r="B457" s="20">
        <v>2026</v>
      </c>
      <c r="C457" s="20" t="s">
        <v>36</v>
      </c>
      <c r="D457" s="20">
        <v>7</v>
      </c>
      <c r="E457" s="21">
        <v>46160</v>
      </c>
      <c r="F457" s="22">
        <v>0.85416666666666663</v>
      </c>
      <c r="G457" s="20" t="s">
        <v>18</v>
      </c>
      <c r="H457" s="20" t="s">
        <v>310</v>
      </c>
      <c r="I457" s="20" t="s">
        <v>295</v>
      </c>
      <c r="J457" s="20" t="s">
        <v>11</v>
      </c>
      <c r="K457" s="20" t="s">
        <v>45</v>
      </c>
      <c r="L457" s="20" t="s">
        <v>13</v>
      </c>
      <c r="M457" s="20" t="s">
        <v>47</v>
      </c>
      <c r="N457" s="20" t="s">
        <v>229</v>
      </c>
      <c r="O457" s="20" t="str">
        <f>_xlfn.XLOOKUP(N457,players!A:A,players!D:D,"")</f>
        <v>Anthony Shelepets</v>
      </c>
      <c r="P457" s="20" cm="1">
        <f t="array" ref="P457">_xlfn.XLOOKUP(I457&amp;N457,rosterSpots!B:B&amp;rosterSpots!D:D,rosterSpots!E:E,"")</f>
        <v>53</v>
      </c>
      <c r="Q457" s="20">
        <f xml:space="preserve"> (playerGameStats!$R457 * 2) + (playerGameStats!$S457 * 3) + (playerGameStats!$T457)</f>
        <v>16</v>
      </c>
      <c r="R457" s="20">
        <v>8</v>
      </c>
      <c r="S457" s="20">
        <v>0</v>
      </c>
      <c r="T457" s="20">
        <v>0</v>
      </c>
      <c r="U457" s="23">
        <v>0</v>
      </c>
    </row>
    <row r="458" spans="1:21" x14ac:dyDescent="0.25">
      <c r="A458" s="14" t="s">
        <v>319</v>
      </c>
      <c r="B458" s="15">
        <v>2026</v>
      </c>
      <c r="C458" s="15" t="s">
        <v>36</v>
      </c>
      <c r="D458" s="15">
        <v>7</v>
      </c>
      <c r="E458" s="16">
        <v>46160</v>
      </c>
      <c r="F458" s="17">
        <v>0.85416666666666663</v>
      </c>
      <c r="G458" s="20" t="s">
        <v>18</v>
      </c>
      <c r="H458" s="15" t="s">
        <v>310</v>
      </c>
      <c r="I458" s="15" t="s">
        <v>297</v>
      </c>
      <c r="J458" s="15" t="s">
        <v>13</v>
      </c>
      <c r="K458" s="15" t="s">
        <v>47</v>
      </c>
      <c r="L458" s="15" t="s">
        <v>11</v>
      </c>
      <c r="M458" s="15" t="s">
        <v>45</v>
      </c>
      <c r="N458" s="15" t="s">
        <v>249</v>
      </c>
      <c r="O458" s="15" t="str">
        <f>_xlfn.XLOOKUP(N458,players!A:A,players!D:D,"")</f>
        <v>Chris Ellis</v>
      </c>
      <c r="P458" s="15" cm="1">
        <f t="array" ref="P458">_xlfn.XLOOKUP(I458&amp;N458,rosterSpots!B:B&amp;rosterSpots!D:D,rosterSpots!E:E,"")</f>
        <v>0</v>
      </c>
      <c r="Q458" s="15">
        <f xml:space="preserve"> (playerGameStats!$R458 * 2) + (playerGameStats!$S458 * 3) + (playerGameStats!$T458)</f>
        <v>10</v>
      </c>
      <c r="R458" s="15">
        <v>2</v>
      </c>
      <c r="S458" s="15">
        <v>1</v>
      </c>
      <c r="T458" s="15">
        <v>3</v>
      </c>
      <c r="U458" s="18">
        <v>3</v>
      </c>
    </row>
    <row r="459" spans="1:21" x14ac:dyDescent="0.25">
      <c r="A459" s="19" t="s">
        <v>319</v>
      </c>
      <c r="B459" s="20">
        <v>2026</v>
      </c>
      <c r="C459" s="20" t="s">
        <v>36</v>
      </c>
      <c r="D459" s="20">
        <v>7</v>
      </c>
      <c r="E459" s="21">
        <v>46160</v>
      </c>
      <c r="F459" s="22">
        <v>0.85416666666666663</v>
      </c>
      <c r="G459" s="20" t="s">
        <v>18</v>
      </c>
      <c r="H459" s="20" t="s">
        <v>310</v>
      </c>
      <c r="I459" s="20" t="s">
        <v>297</v>
      </c>
      <c r="J459" s="20" t="s">
        <v>13</v>
      </c>
      <c r="K459" s="20" t="s">
        <v>47</v>
      </c>
      <c r="L459" s="20" t="s">
        <v>11</v>
      </c>
      <c r="M459" s="20" t="s">
        <v>45</v>
      </c>
      <c r="N459" s="20" t="s">
        <v>248</v>
      </c>
      <c r="O459" s="20" t="str">
        <f>_xlfn.XLOOKUP(N459,players!A:A,players!D:D,"")</f>
        <v>Grant Clark</v>
      </c>
      <c r="P459" s="20" cm="1">
        <f t="array" ref="P459">_xlfn.XLOOKUP(I459&amp;N459,rosterSpots!B:B&amp;rosterSpots!D:D,rosterSpots!E:E,"")</f>
        <v>1</v>
      </c>
      <c r="Q459" s="20">
        <f xml:space="preserve"> (playerGameStats!$R459 * 2) + (playerGameStats!$S459 * 3) + (playerGameStats!$T459)</f>
        <v>24</v>
      </c>
      <c r="R459" s="20">
        <v>3</v>
      </c>
      <c r="S459" s="20">
        <v>6</v>
      </c>
      <c r="T459" s="20">
        <v>0</v>
      </c>
      <c r="U459" s="23">
        <v>0</v>
      </c>
    </row>
    <row r="460" spans="1:21" x14ac:dyDescent="0.25">
      <c r="A460" s="14" t="s">
        <v>319</v>
      </c>
      <c r="B460" s="15">
        <v>2026</v>
      </c>
      <c r="C460" s="15" t="s">
        <v>36</v>
      </c>
      <c r="D460" s="15">
        <v>7</v>
      </c>
      <c r="E460" s="16">
        <v>46160</v>
      </c>
      <c r="F460" s="17">
        <v>0.85416666666666663</v>
      </c>
      <c r="G460" s="20" t="s">
        <v>18</v>
      </c>
      <c r="H460" s="15" t="s">
        <v>310</v>
      </c>
      <c r="I460" s="15" t="s">
        <v>297</v>
      </c>
      <c r="J460" s="15" t="s">
        <v>13</v>
      </c>
      <c r="K460" s="15" t="s">
        <v>47</v>
      </c>
      <c r="L460" s="15" t="s">
        <v>11</v>
      </c>
      <c r="M460" s="15" t="s">
        <v>45</v>
      </c>
      <c r="N460" s="15" t="s">
        <v>252</v>
      </c>
      <c r="O460" s="15" t="str">
        <f>_xlfn.XLOOKUP(N460,players!A:A,players!D:D,"")</f>
        <v>Sean Lane</v>
      </c>
      <c r="P460" s="15" cm="1">
        <f t="array" ref="P460">_xlfn.XLOOKUP(I460&amp;N460,rosterSpots!B:B&amp;rosterSpots!D:D,rosterSpots!E:E,"")</f>
        <v>3</v>
      </c>
      <c r="Q460" s="15">
        <f xml:space="preserve"> (playerGameStats!$R460 * 2) + (playerGameStats!$S460 * 3) + (playerGameStats!$T460)</f>
        <v>3</v>
      </c>
      <c r="R460" s="15">
        <v>0</v>
      </c>
      <c r="S460" s="15">
        <v>1</v>
      </c>
      <c r="T460" s="15">
        <v>0</v>
      </c>
      <c r="U460" s="18">
        <v>0</v>
      </c>
    </row>
    <row r="461" spans="1:21" x14ac:dyDescent="0.25">
      <c r="A461" s="19" t="s">
        <v>319</v>
      </c>
      <c r="B461" s="20">
        <v>2026</v>
      </c>
      <c r="C461" s="20" t="s">
        <v>36</v>
      </c>
      <c r="D461" s="20">
        <v>7</v>
      </c>
      <c r="E461" s="21">
        <v>46160</v>
      </c>
      <c r="F461" s="22">
        <v>0.85416666666666663</v>
      </c>
      <c r="G461" s="20" t="s">
        <v>18</v>
      </c>
      <c r="H461" s="20" t="s">
        <v>310</v>
      </c>
      <c r="I461" s="20" t="s">
        <v>297</v>
      </c>
      <c r="J461" s="20" t="s">
        <v>13</v>
      </c>
      <c r="K461" s="20" t="s">
        <v>47</v>
      </c>
      <c r="L461" s="20" t="s">
        <v>11</v>
      </c>
      <c r="M461" s="20" t="s">
        <v>45</v>
      </c>
      <c r="N461" s="20" t="s">
        <v>244</v>
      </c>
      <c r="O461" s="20" t="str">
        <f>_xlfn.XLOOKUP(N461,players!A:A,players!D:D,"")</f>
        <v>Eli Ratliff</v>
      </c>
      <c r="P461" s="20" cm="1">
        <f t="array" ref="P461">_xlfn.XLOOKUP(I461&amp;N461,rosterSpots!B:B&amp;rosterSpots!D:D,rosterSpots!E:E,"")</f>
        <v>4</v>
      </c>
      <c r="Q461" s="20">
        <f xml:space="preserve"> (playerGameStats!$R461 * 2) + (playerGameStats!$S461 * 3) + (playerGameStats!$T461)</f>
        <v>2</v>
      </c>
      <c r="R461" s="20">
        <v>1</v>
      </c>
      <c r="S461" s="20">
        <v>0</v>
      </c>
      <c r="T461" s="20">
        <v>0</v>
      </c>
      <c r="U461" s="23">
        <v>0</v>
      </c>
    </row>
    <row r="462" spans="1:21" x14ac:dyDescent="0.25">
      <c r="A462" s="14" t="s">
        <v>319</v>
      </c>
      <c r="B462" s="15">
        <v>2026</v>
      </c>
      <c r="C462" s="15" t="s">
        <v>36</v>
      </c>
      <c r="D462" s="15">
        <v>7</v>
      </c>
      <c r="E462" s="16">
        <v>46160</v>
      </c>
      <c r="F462" s="17">
        <v>0.85416666666666663</v>
      </c>
      <c r="G462" s="20" t="s">
        <v>18</v>
      </c>
      <c r="H462" s="15" t="s">
        <v>310</v>
      </c>
      <c r="I462" s="15" t="s">
        <v>297</v>
      </c>
      <c r="J462" s="15" t="s">
        <v>13</v>
      </c>
      <c r="K462" s="15" t="s">
        <v>47</v>
      </c>
      <c r="L462" s="15" t="s">
        <v>11</v>
      </c>
      <c r="M462" s="15" t="s">
        <v>45</v>
      </c>
      <c r="N462" s="15" t="s">
        <v>251</v>
      </c>
      <c r="O462" s="15" t="str">
        <f>_xlfn.XLOOKUP(N462,players!A:A,players!D:D,"")</f>
        <v>Kyle Kelly</v>
      </c>
      <c r="P462" s="15" cm="1">
        <f t="array" ref="P462">_xlfn.XLOOKUP(I462&amp;N462,rosterSpots!B:B&amp;rosterSpots!D:D,rosterSpots!E:E,"")</f>
        <v>13</v>
      </c>
      <c r="Q462" s="15">
        <f xml:space="preserve"> (playerGameStats!$R462 * 2) + (playerGameStats!$S462 * 3) + (playerGameStats!$T462)</f>
        <v>6</v>
      </c>
      <c r="R462" s="15">
        <v>0</v>
      </c>
      <c r="S462" s="15">
        <v>2</v>
      </c>
      <c r="T462" s="15">
        <v>0</v>
      </c>
      <c r="U462" s="18">
        <v>0</v>
      </c>
    </row>
    <row r="463" spans="1:21" x14ac:dyDescent="0.25">
      <c r="A463" s="14" t="s">
        <v>319</v>
      </c>
      <c r="B463" s="15">
        <v>2026</v>
      </c>
      <c r="C463" s="15" t="s">
        <v>36</v>
      </c>
      <c r="D463" s="15">
        <v>7</v>
      </c>
      <c r="E463" s="16">
        <v>46160</v>
      </c>
      <c r="F463" s="17">
        <v>0.85416666666666663</v>
      </c>
      <c r="G463" s="20" t="s">
        <v>18</v>
      </c>
      <c r="H463" s="15" t="s">
        <v>310</v>
      </c>
      <c r="I463" s="15" t="s">
        <v>297</v>
      </c>
      <c r="J463" s="15" t="s">
        <v>13</v>
      </c>
      <c r="K463" s="15" t="s">
        <v>47</v>
      </c>
      <c r="L463" s="15" t="s">
        <v>11</v>
      </c>
      <c r="M463" s="15" t="s">
        <v>45</v>
      </c>
      <c r="N463" s="15" t="s">
        <v>245</v>
      </c>
      <c r="O463" s="15" t="str">
        <f>_xlfn.XLOOKUP(N463,players!A:A,players!D:D,"")</f>
        <v>Deven Cobb</v>
      </c>
      <c r="P463" s="15" cm="1">
        <f t="array" ref="P463">_xlfn.XLOOKUP(I463&amp;N463,rosterSpots!B:B&amp;rosterSpots!D:D,rosterSpots!E:E,"")</f>
        <v>22</v>
      </c>
      <c r="Q463" s="15">
        <f xml:space="preserve"> (playerGameStats!$R463 * 2) + (playerGameStats!$S463 * 3) + (playerGameStats!$T463)</f>
        <v>6</v>
      </c>
      <c r="R463" s="15">
        <v>0</v>
      </c>
      <c r="S463" s="15">
        <v>2</v>
      </c>
      <c r="T463" s="15">
        <v>0</v>
      </c>
      <c r="U463" s="18">
        <v>0</v>
      </c>
    </row>
    <row r="464" spans="1:21" x14ac:dyDescent="0.25">
      <c r="A464" s="19" t="s">
        <v>319</v>
      </c>
      <c r="B464" s="20">
        <v>2026</v>
      </c>
      <c r="C464" s="20" t="s">
        <v>36</v>
      </c>
      <c r="D464" s="20">
        <v>7</v>
      </c>
      <c r="E464" s="21">
        <v>46160</v>
      </c>
      <c r="F464" s="22">
        <v>0.85416666666666663</v>
      </c>
      <c r="G464" s="20" t="s">
        <v>18</v>
      </c>
      <c r="H464" s="20" t="s">
        <v>310</v>
      </c>
      <c r="I464" s="20" t="s">
        <v>297</v>
      </c>
      <c r="J464" s="20" t="s">
        <v>13</v>
      </c>
      <c r="K464" s="20" t="s">
        <v>47</v>
      </c>
      <c r="L464" s="20" t="s">
        <v>11</v>
      </c>
      <c r="M464" s="20" t="s">
        <v>45</v>
      </c>
      <c r="N464" s="20" t="s">
        <v>305</v>
      </c>
      <c r="O464" s="20" t="str">
        <f>_xlfn.XLOOKUP(N464,players!A:A,players!D:D,"")</f>
        <v>Anthony Marone</v>
      </c>
      <c r="P464" s="20" cm="1">
        <f t="array" ref="P464">_xlfn.XLOOKUP(I464&amp;N464,rosterSpots!B:B&amp;rosterSpots!D:D,rosterSpots!E:E,"")</f>
        <v>32</v>
      </c>
      <c r="Q464" s="20">
        <f xml:space="preserve"> (playerGameStats!$R464 * 2) + (playerGameStats!$S464 * 3) + (playerGameStats!$T464)</f>
        <v>9</v>
      </c>
      <c r="R464" s="20">
        <v>4</v>
      </c>
      <c r="S464" s="20">
        <v>0</v>
      </c>
      <c r="T464" s="20">
        <v>1</v>
      </c>
      <c r="U464" s="23">
        <v>1</v>
      </c>
    </row>
    <row r="465" spans="1:21" x14ac:dyDescent="0.25">
      <c r="A465" s="14" t="s">
        <v>318</v>
      </c>
      <c r="B465" s="15">
        <v>2026</v>
      </c>
      <c r="C465" s="15" t="s">
        <v>36</v>
      </c>
      <c r="D465" s="15">
        <v>7</v>
      </c>
      <c r="E465" s="16">
        <v>46161</v>
      </c>
      <c r="F465" s="17">
        <v>0.77083333333333337</v>
      </c>
      <c r="G465" s="20" t="s">
        <v>18</v>
      </c>
      <c r="H465" s="15" t="s">
        <v>310</v>
      </c>
      <c r="I465" s="15" t="s">
        <v>297</v>
      </c>
      <c r="J465" s="15" t="s">
        <v>13</v>
      </c>
      <c r="K465" s="15" t="s">
        <v>47</v>
      </c>
      <c r="L465" s="15" t="s">
        <v>16</v>
      </c>
      <c r="M465" s="15" t="s">
        <v>44</v>
      </c>
      <c r="N465" s="15" t="s">
        <v>248</v>
      </c>
      <c r="O465" s="15" t="str">
        <f>_xlfn.XLOOKUP(N465,players!A:A,players!D:D,"")</f>
        <v>Grant Clark</v>
      </c>
      <c r="P465" s="15" cm="1">
        <f t="array" ref="P465">_xlfn.XLOOKUP(I465&amp;N465,rosterSpots!B:B&amp;rosterSpots!D:D,rosterSpots!E:E,"")</f>
        <v>1</v>
      </c>
      <c r="Q465" s="15">
        <f xml:space="preserve"> (playerGameStats!$R465 * 2) + (playerGameStats!$S465 * 3) + (playerGameStats!$T465)</f>
        <v>17</v>
      </c>
      <c r="R465" s="15">
        <v>3</v>
      </c>
      <c r="S465" s="15">
        <v>3</v>
      </c>
      <c r="T465" s="15">
        <v>2</v>
      </c>
      <c r="U465" s="18">
        <v>4</v>
      </c>
    </row>
    <row r="466" spans="1:21" x14ac:dyDescent="0.25">
      <c r="A466" s="19" t="s">
        <v>318</v>
      </c>
      <c r="B466" s="20">
        <v>2026</v>
      </c>
      <c r="C466" s="20" t="s">
        <v>36</v>
      </c>
      <c r="D466" s="20">
        <v>7</v>
      </c>
      <c r="E466" s="21">
        <v>46161</v>
      </c>
      <c r="F466" s="22">
        <v>0.77083333333333337</v>
      </c>
      <c r="G466" s="20" t="s">
        <v>18</v>
      </c>
      <c r="H466" s="20" t="s">
        <v>310</v>
      </c>
      <c r="I466" s="20" t="s">
        <v>297</v>
      </c>
      <c r="J466" s="20" t="s">
        <v>13</v>
      </c>
      <c r="K466" s="20" t="s">
        <v>47</v>
      </c>
      <c r="L466" s="20" t="s">
        <v>16</v>
      </c>
      <c r="M466" s="20" t="s">
        <v>44</v>
      </c>
      <c r="N466" s="20" t="s">
        <v>252</v>
      </c>
      <c r="O466" s="20" t="str">
        <f>_xlfn.XLOOKUP(N466,players!A:A,players!D:D,"")</f>
        <v>Sean Lane</v>
      </c>
      <c r="P466" s="20" cm="1">
        <f t="array" ref="P466">_xlfn.XLOOKUP(I466&amp;N466,rosterSpots!B:B&amp;rosterSpots!D:D,rosterSpots!E:E,"")</f>
        <v>3</v>
      </c>
      <c r="Q466" s="20">
        <f xml:space="preserve"> (playerGameStats!$R466 * 2) + (playerGameStats!$S466 * 3) + (playerGameStats!$T466)</f>
        <v>3</v>
      </c>
      <c r="R466" s="20">
        <v>0</v>
      </c>
      <c r="S466" s="20">
        <v>1</v>
      </c>
      <c r="T466" s="20">
        <v>0</v>
      </c>
      <c r="U466" s="23">
        <v>0</v>
      </c>
    </row>
    <row r="467" spans="1:21" x14ac:dyDescent="0.25">
      <c r="A467" s="14" t="s">
        <v>318</v>
      </c>
      <c r="B467" s="15">
        <v>2026</v>
      </c>
      <c r="C467" s="15" t="s">
        <v>36</v>
      </c>
      <c r="D467" s="15">
        <v>7</v>
      </c>
      <c r="E467" s="16">
        <v>46161</v>
      </c>
      <c r="F467" s="17">
        <v>0.77083333333333337</v>
      </c>
      <c r="G467" s="20" t="s">
        <v>18</v>
      </c>
      <c r="H467" s="15" t="s">
        <v>310</v>
      </c>
      <c r="I467" s="15" t="s">
        <v>297</v>
      </c>
      <c r="J467" s="15" t="s">
        <v>13</v>
      </c>
      <c r="K467" s="15" t="s">
        <v>47</v>
      </c>
      <c r="L467" s="15" t="s">
        <v>16</v>
      </c>
      <c r="M467" s="15" t="s">
        <v>44</v>
      </c>
      <c r="N467" s="15" t="s">
        <v>244</v>
      </c>
      <c r="O467" s="15" t="str">
        <f>_xlfn.XLOOKUP(N467,players!A:A,players!D:D,"")</f>
        <v>Eli Ratliff</v>
      </c>
      <c r="P467" s="15" cm="1">
        <f t="array" ref="P467">_xlfn.XLOOKUP(I467&amp;N467,rosterSpots!B:B&amp;rosterSpots!D:D,rosterSpots!E:E,"")</f>
        <v>4</v>
      </c>
      <c r="Q467" s="15">
        <f xml:space="preserve"> (playerGameStats!$R467 * 2) + (playerGameStats!$S467 * 3) + (playerGameStats!$T467)</f>
        <v>5</v>
      </c>
      <c r="R467" s="15">
        <v>2</v>
      </c>
      <c r="S467" s="15">
        <v>0</v>
      </c>
      <c r="T467" s="15">
        <v>1</v>
      </c>
      <c r="U467" s="18">
        <v>2</v>
      </c>
    </row>
    <row r="468" spans="1:21" x14ac:dyDescent="0.25">
      <c r="A468" s="19" t="s">
        <v>318</v>
      </c>
      <c r="B468" s="20">
        <v>2026</v>
      </c>
      <c r="C468" s="20" t="s">
        <v>36</v>
      </c>
      <c r="D468" s="20">
        <v>7</v>
      </c>
      <c r="E468" s="21">
        <v>46161</v>
      </c>
      <c r="F468" s="22">
        <v>0.77083333333333337</v>
      </c>
      <c r="G468" s="20" t="s">
        <v>18</v>
      </c>
      <c r="H468" s="20" t="s">
        <v>310</v>
      </c>
      <c r="I468" s="20" t="s">
        <v>297</v>
      </c>
      <c r="J468" s="20" t="s">
        <v>13</v>
      </c>
      <c r="K468" s="20" t="s">
        <v>47</v>
      </c>
      <c r="L468" s="20" t="s">
        <v>16</v>
      </c>
      <c r="M468" s="20" t="s">
        <v>44</v>
      </c>
      <c r="N468" s="20" t="s">
        <v>251</v>
      </c>
      <c r="O468" s="20" t="str">
        <f>_xlfn.XLOOKUP(N468,players!A:A,players!D:D,"")</f>
        <v>Kyle Kelly</v>
      </c>
      <c r="P468" s="20" cm="1">
        <f t="array" ref="P468">_xlfn.XLOOKUP(I468&amp;N468,rosterSpots!B:B&amp;rosterSpots!D:D,rosterSpots!E:E,"")</f>
        <v>13</v>
      </c>
      <c r="Q468" s="20">
        <f xml:space="preserve"> (playerGameStats!$R468 * 2) + (playerGameStats!$S468 * 3) + (playerGameStats!$T468)</f>
        <v>19</v>
      </c>
      <c r="R468" s="20">
        <v>0</v>
      </c>
      <c r="S468" s="20">
        <v>6</v>
      </c>
      <c r="T468" s="20">
        <v>1</v>
      </c>
      <c r="U468" s="23">
        <v>2</v>
      </c>
    </row>
    <row r="469" spans="1:21" x14ac:dyDescent="0.25">
      <c r="A469" s="14" t="s">
        <v>318</v>
      </c>
      <c r="B469" s="15">
        <v>2026</v>
      </c>
      <c r="C469" s="15" t="s">
        <v>36</v>
      </c>
      <c r="D469" s="15">
        <v>7</v>
      </c>
      <c r="E469" s="16">
        <v>46161</v>
      </c>
      <c r="F469" s="17">
        <v>0.77083333333333337</v>
      </c>
      <c r="G469" s="20" t="s">
        <v>18</v>
      </c>
      <c r="H469" s="15" t="s">
        <v>310</v>
      </c>
      <c r="I469" s="15" t="s">
        <v>297</v>
      </c>
      <c r="J469" s="15" t="s">
        <v>13</v>
      </c>
      <c r="K469" s="15" t="s">
        <v>47</v>
      </c>
      <c r="L469" s="15" t="s">
        <v>16</v>
      </c>
      <c r="M469" s="15" t="s">
        <v>44</v>
      </c>
      <c r="N469" s="15" t="s">
        <v>247</v>
      </c>
      <c r="O469" s="15" t="str">
        <f>_xlfn.XLOOKUP(N469,players!A:A,players!D:D,"")</f>
        <v>Donte Diggs</v>
      </c>
      <c r="P469" s="15" cm="1">
        <f t="array" ref="P469">_xlfn.XLOOKUP(I469&amp;N469,rosterSpots!B:B&amp;rosterSpots!D:D,rosterSpots!E:E,"")</f>
        <v>21</v>
      </c>
      <c r="Q469" s="15">
        <f xml:space="preserve"> (playerGameStats!$R469 * 2) + (playerGameStats!$S469 * 3) + (playerGameStats!$T469)</f>
        <v>0</v>
      </c>
      <c r="R469" s="15">
        <v>0</v>
      </c>
      <c r="S469" s="15">
        <v>0</v>
      </c>
      <c r="T469" s="15">
        <v>0</v>
      </c>
      <c r="U469" s="18">
        <v>0</v>
      </c>
    </row>
    <row r="470" spans="1:21" x14ac:dyDescent="0.25">
      <c r="A470" s="19" t="s">
        <v>318</v>
      </c>
      <c r="B470" s="20">
        <v>2026</v>
      </c>
      <c r="C470" s="20" t="s">
        <v>36</v>
      </c>
      <c r="D470" s="20">
        <v>7</v>
      </c>
      <c r="E470" s="21">
        <v>46161</v>
      </c>
      <c r="F470" s="22">
        <v>0.77083333333333337</v>
      </c>
      <c r="G470" s="20" t="s">
        <v>18</v>
      </c>
      <c r="H470" s="20" t="s">
        <v>310</v>
      </c>
      <c r="I470" s="20" t="s">
        <v>297</v>
      </c>
      <c r="J470" s="20" t="s">
        <v>13</v>
      </c>
      <c r="K470" s="20" t="s">
        <v>47</v>
      </c>
      <c r="L470" s="20" t="s">
        <v>16</v>
      </c>
      <c r="M470" s="20" t="s">
        <v>44</v>
      </c>
      <c r="N470" s="20" t="s">
        <v>245</v>
      </c>
      <c r="O470" s="20" t="str">
        <f>_xlfn.XLOOKUP(N470,players!A:A,players!D:D,"")</f>
        <v>Deven Cobb</v>
      </c>
      <c r="P470" s="20" cm="1">
        <f t="array" ref="P470">_xlfn.XLOOKUP(I470&amp;N470,rosterSpots!B:B&amp;rosterSpots!D:D,rosterSpots!E:E,"")</f>
        <v>22</v>
      </c>
      <c r="Q470" s="20">
        <f xml:space="preserve"> (playerGameStats!$R470 * 2) + (playerGameStats!$S470 * 3) + (playerGameStats!$T470)</f>
        <v>13</v>
      </c>
      <c r="R470" s="20">
        <v>2</v>
      </c>
      <c r="S470" s="20">
        <v>3</v>
      </c>
      <c r="T470" s="20">
        <v>0</v>
      </c>
      <c r="U470" s="23">
        <v>0</v>
      </c>
    </row>
    <row r="471" spans="1:21" x14ac:dyDescent="0.25">
      <c r="A471" s="14" t="s">
        <v>318</v>
      </c>
      <c r="B471" s="15">
        <v>2026</v>
      </c>
      <c r="C471" s="15" t="s">
        <v>36</v>
      </c>
      <c r="D471" s="15">
        <v>7</v>
      </c>
      <c r="E471" s="16">
        <v>46161</v>
      </c>
      <c r="F471" s="17">
        <v>0.77083333333333337</v>
      </c>
      <c r="G471" s="20" t="s">
        <v>18</v>
      </c>
      <c r="H471" s="15" t="s">
        <v>310</v>
      </c>
      <c r="I471" s="15" t="s">
        <v>297</v>
      </c>
      <c r="J471" s="15" t="s">
        <v>13</v>
      </c>
      <c r="K471" s="15" t="s">
        <v>47</v>
      </c>
      <c r="L471" s="15" t="s">
        <v>16</v>
      </c>
      <c r="M471" s="15" t="s">
        <v>44</v>
      </c>
      <c r="N471" s="15" t="s">
        <v>305</v>
      </c>
      <c r="O471" s="15" t="str">
        <f>_xlfn.XLOOKUP(N471,players!A:A,players!D:D,"")</f>
        <v>Anthony Marone</v>
      </c>
      <c r="P471" s="15" cm="1">
        <f t="array" ref="P471">_xlfn.XLOOKUP(I471&amp;N471,rosterSpots!B:B&amp;rosterSpots!D:D,rosterSpots!E:E,"")</f>
        <v>32</v>
      </c>
      <c r="Q471" s="15">
        <f xml:space="preserve"> (playerGameStats!$R471 * 2) + (playerGameStats!$S471 * 3) + (playerGameStats!$T471)</f>
        <v>3</v>
      </c>
      <c r="R471" s="15">
        <v>1</v>
      </c>
      <c r="S471" s="15">
        <v>0</v>
      </c>
      <c r="T471" s="15">
        <v>1</v>
      </c>
      <c r="U471" s="18">
        <v>3</v>
      </c>
    </row>
    <row r="472" spans="1:21" x14ac:dyDescent="0.25">
      <c r="A472" s="14" t="s">
        <v>318</v>
      </c>
      <c r="B472" s="15">
        <v>2026</v>
      </c>
      <c r="C472" s="15" t="s">
        <v>36</v>
      </c>
      <c r="D472" s="15">
        <v>7</v>
      </c>
      <c r="E472" s="16">
        <v>46161</v>
      </c>
      <c r="F472" s="17">
        <v>0.77083333333333337</v>
      </c>
      <c r="G472" s="20" t="s">
        <v>18</v>
      </c>
      <c r="H472" s="15" t="s">
        <v>310</v>
      </c>
      <c r="I472" s="15" t="s">
        <v>300</v>
      </c>
      <c r="J472" s="15" t="s">
        <v>16</v>
      </c>
      <c r="K472" s="15" t="s">
        <v>44</v>
      </c>
      <c r="L472" s="15" t="s">
        <v>13</v>
      </c>
      <c r="M472" s="15" t="s">
        <v>47</v>
      </c>
      <c r="N472" s="15" t="s">
        <v>277</v>
      </c>
      <c r="O472" s="15" t="str">
        <f>_xlfn.XLOOKUP(N472,players!A:A,players!D:D,"")</f>
        <v>Kevin Carroll</v>
      </c>
      <c r="P472" s="15" cm="1">
        <f t="array" ref="P472">_xlfn.XLOOKUP(I472&amp;N472,rosterSpots!B:B&amp;rosterSpots!D:D,rosterSpots!E:E,"")</f>
        <v>2</v>
      </c>
      <c r="Q472" s="15">
        <f xml:space="preserve"> (playerGameStats!$R472 * 2) + (playerGameStats!$S472 * 3) + (playerGameStats!$T472)</f>
        <v>14</v>
      </c>
      <c r="R472" s="15">
        <v>0</v>
      </c>
      <c r="S472" s="15">
        <v>4</v>
      </c>
      <c r="T472" s="15">
        <v>2</v>
      </c>
      <c r="U472" s="18">
        <v>2</v>
      </c>
    </row>
    <row r="473" spans="1:21" x14ac:dyDescent="0.25">
      <c r="A473" s="19" t="s">
        <v>318</v>
      </c>
      <c r="B473" s="20">
        <v>2026</v>
      </c>
      <c r="C473" s="20" t="s">
        <v>36</v>
      </c>
      <c r="D473" s="20">
        <v>7</v>
      </c>
      <c r="E473" s="21">
        <v>46161</v>
      </c>
      <c r="F473" s="22">
        <v>0.77083333333333337</v>
      </c>
      <c r="G473" s="20" t="s">
        <v>18</v>
      </c>
      <c r="H473" s="20" t="s">
        <v>310</v>
      </c>
      <c r="I473" s="20" t="s">
        <v>300</v>
      </c>
      <c r="J473" s="20" t="s">
        <v>16</v>
      </c>
      <c r="K473" s="20" t="s">
        <v>44</v>
      </c>
      <c r="L473" s="20" t="s">
        <v>13</v>
      </c>
      <c r="M473" s="20" t="s">
        <v>47</v>
      </c>
      <c r="N473" s="20" t="s">
        <v>281</v>
      </c>
      <c r="O473" s="20" t="str">
        <f>_xlfn.XLOOKUP(N473,players!A:A,players!D:D,"")</f>
        <v>Tommy Zheng</v>
      </c>
      <c r="P473" s="20" cm="1">
        <f t="array" ref="P473">_xlfn.XLOOKUP(I473&amp;N473,rosterSpots!B:B&amp;rosterSpots!D:D,rosterSpots!E:E,"")</f>
        <v>5</v>
      </c>
      <c r="Q473" s="20">
        <f xml:space="preserve"> (playerGameStats!$R473 * 2) + (playerGameStats!$S473 * 3) + (playerGameStats!$T473)</f>
        <v>0</v>
      </c>
      <c r="R473" s="20">
        <v>0</v>
      </c>
      <c r="S473" s="20">
        <v>0</v>
      </c>
      <c r="T473" s="20">
        <v>0</v>
      </c>
      <c r="U473" s="23">
        <v>0</v>
      </c>
    </row>
    <row r="474" spans="1:21" x14ac:dyDescent="0.25">
      <c r="A474" s="14" t="s">
        <v>318</v>
      </c>
      <c r="B474" s="15">
        <v>2026</v>
      </c>
      <c r="C474" s="15" t="s">
        <v>36</v>
      </c>
      <c r="D474" s="15">
        <v>7</v>
      </c>
      <c r="E474" s="16">
        <v>46161</v>
      </c>
      <c r="F474" s="17">
        <v>0.77083333333333337</v>
      </c>
      <c r="G474" s="20" t="s">
        <v>18</v>
      </c>
      <c r="H474" s="15" t="s">
        <v>310</v>
      </c>
      <c r="I474" s="15" t="s">
        <v>300</v>
      </c>
      <c r="J474" s="15" t="s">
        <v>16</v>
      </c>
      <c r="K474" s="15" t="s">
        <v>44</v>
      </c>
      <c r="L474" s="15" t="s">
        <v>13</v>
      </c>
      <c r="M474" s="15" t="s">
        <v>47</v>
      </c>
      <c r="N474" s="15" t="s">
        <v>276</v>
      </c>
      <c r="O474" s="15" t="str">
        <f>_xlfn.XLOOKUP(N474,players!A:A,players!D:D,"")</f>
        <v>Matt Kasper</v>
      </c>
      <c r="P474" s="15" cm="1">
        <f t="array" ref="P474">_xlfn.XLOOKUP(I474&amp;N474,rosterSpots!B:B&amp;rosterSpots!D:D,rosterSpots!E:E,"")</f>
        <v>7</v>
      </c>
      <c r="Q474" s="15">
        <f xml:space="preserve"> (playerGameStats!$R474 * 2) + (playerGameStats!$S474 * 3) + (playerGameStats!$T474)</f>
        <v>14</v>
      </c>
      <c r="R474" s="15">
        <v>4</v>
      </c>
      <c r="S474" s="15">
        <v>2</v>
      </c>
      <c r="T474" s="15">
        <v>0</v>
      </c>
      <c r="U474" s="18">
        <v>0</v>
      </c>
    </row>
    <row r="475" spans="1:21" x14ac:dyDescent="0.25">
      <c r="A475" s="19" t="s">
        <v>318</v>
      </c>
      <c r="B475" s="20">
        <v>2026</v>
      </c>
      <c r="C475" s="20" t="s">
        <v>36</v>
      </c>
      <c r="D475" s="20">
        <v>7</v>
      </c>
      <c r="E475" s="21">
        <v>46161</v>
      </c>
      <c r="F475" s="22">
        <v>0.77083333333333337</v>
      </c>
      <c r="G475" s="20" t="s">
        <v>18</v>
      </c>
      <c r="H475" s="20" t="s">
        <v>310</v>
      </c>
      <c r="I475" s="20" t="s">
        <v>300</v>
      </c>
      <c r="J475" s="20" t="s">
        <v>16</v>
      </c>
      <c r="K475" s="20" t="s">
        <v>44</v>
      </c>
      <c r="L475" s="20" t="s">
        <v>13</v>
      </c>
      <c r="M475" s="20" t="s">
        <v>47</v>
      </c>
      <c r="N475" s="20" t="s">
        <v>275</v>
      </c>
      <c r="O475" s="20" t="str">
        <f>_xlfn.XLOOKUP(N475,players!A:A,players!D:D,"")</f>
        <v>Thomas Hays</v>
      </c>
      <c r="P475" s="20" cm="1">
        <f t="array" ref="P475">_xlfn.XLOOKUP(I475&amp;N475,rosterSpots!B:B&amp;rosterSpots!D:D,rosterSpots!E:E,"")</f>
        <v>8</v>
      </c>
      <c r="Q475" s="20">
        <f xml:space="preserve"> (playerGameStats!$R475 * 2) + (playerGameStats!$S475 * 3) + (playerGameStats!$T475)</f>
        <v>11</v>
      </c>
      <c r="R475" s="20">
        <v>3</v>
      </c>
      <c r="S475" s="20">
        <v>1</v>
      </c>
      <c r="T475" s="20">
        <v>2</v>
      </c>
      <c r="U475" s="23">
        <v>2</v>
      </c>
    </row>
    <row r="476" spans="1:21" x14ac:dyDescent="0.25">
      <c r="A476" s="19" t="s">
        <v>318</v>
      </c>
      <c r="B476" s="20">
        <v>2026</v>
      </c>
      <c r="C476" s="20" t="s">
        <v>36</v>
      </c>
      <c r="D476" s="20">
        <v>7</v>
      </c>
      <c r="E476" s="21">
        <v>46161</v>
      </c>
      <c r="F476" s="22">
        <v>0.77083333333333337</v>
      </c>
      <c r="G476" s="20" t="s">
        <v>18</v>
      </c>
      <c r="H476" s="20" t="s">
        <v>310</v>
      </c>
      <c r="I476" s="20" t="s">
        <v>300</v>
      </c>
      <c r="J476" s="20" t="s">
        <v>16</v>
      </c>
      <c r="K476" s="20" t="s">
        <v>44</v>
      </c>
      <c r="L476" s="20" t="s">
        <v>13</v>
      </c>
      <c r="M476" s="20" t="s">
        <v>47</v>
      </c>
      <c r="N476" s="20" t="s">
        <v>273</v>
      </c>
      <c r="O476" s="20" t="str">
        <f>_xlfn.XLOOKUP(N476,players!A:A,players!D:D,"")</f>
        <v>Travis Gibbs</v>
      </c>
      <c r="P476" s="20" cm="1">
        <f t="array" ref="P476">_xlfn.XLOOKUP(I476&amp;N476,rosterSpots!B:B&amp;rosterSpots!D:D,rosterSpots!E:E,"")</f>
        <v>11</v>
      </c>
      <c r="Q476" s="20">
        <f xml:space="preserve"> (playerGameStats!$R476 * 2) + (playerGameStats!$S476 * 3) + (playerGameStats!$T476)</f>
        <v>0</v>
      </c>
      <c r="R476" s="20">
        <v>0</v>
      </c>
      <c r="S476" s="20">
        <v>0</v>
      </c>
      <c r="T476" s="20">
        <v>0</v>
      </c>
      <c r="U476" s="23">
        <v>0</v>
      </c>
    </row>
    <row r="477" spans="1:21" x14ac:dyDescent="0.25">
      <c r="A477" s="19" t="s">
        <v>318</v>
      </c>
      <c r="B477" s="20">
        <v>2026</v>
      </c>
      <c r="C477" s="20" t="s">
        <v>36</v>
      </c>
      <c r="D477" s="20">
        <v>7</v>
      </c>
      <c r="E477" s="21">
        <v>46161</v>
      </c>
      <c r="F477" s="22">
        <v>0.77083333333333337</v>
      </c>
      <c r="G477" s="20" t="s">
        <v>18</v>
      </c>
      <c r="H477" s="20" t="s">
        <v>310</v>
      </c>
      <c r="I477" s="20" t="s">
        <v>300</v>
      </c>
      <c r="J477" s="20" t="s">
        <v>16</v>
      </c>
      <c r="K477" s="20" t="s">
        <v>44</v>
      </c>
      <c r="L477" s="20" t="s">
        <v>13</v>
      </c>
      <c r="M477" s="20" t="s">
        <v>47</v>
      </c>
      <c r="N477" s="20" t="s">
        <v>274</v>
      </c>
      <c r="O477" s="20" t="str">
        <f>_xlfn.XLOOKUP(N477,players!A:A,players!D:D,"")</f>
        <v>David Hays</v>
      </c>
      <c r="P477" s="20" cm="1">
        <f t="array" ref="P477">_xlfn.XLOOKUP(I477&amp;N477,rosterSpots!B:B&amp;rosterSpots!D:D,rosterSpots!E:E,"")</f>
        <v>17</v>
      </c>
      <c r="Q477" s="20">
        <f xml:space="preserve"> (playerGameStats!$R477 * 2) + (playerGameStats!$S477 * 3) + (playerGameStats!$T477)</f>
        <v>0</v>
      </c>
      <c r="R477" s="20">
        <v>0</v>
      </c>
      <c r="S477" s="20">
        <v>0</v>
      </c>
      <c r="T477" s="20">
        <v>0</v>
      </c>
      <c r="U477" s="23">
        <v>0</v>
      </c>
    </row>
    <row r="478" spans="1:21" x14ac:dyDescent="0.25">
      <c r="A478" s="14" t="s">
        <v>318</v>
      </c>
      <c r="B478" s="15">
        <v>2026</v>
      </c>
      <c r="C478" s="15" t="s">
        <v>36</v>
      </c>
      <c r="D478" s="15">
        <v>7</v>
      </c>
      <c r="E478" s="16">
        <v>46161</v>
      </c>
      <c r="F478" s="17">
        <v>0.77083333333333337</v>
      </c>
      <c r="G478" s="20" t="s">
        <v>18</v>
      </c>
      <c r="H478" s="15" t="s">
        <v>310</v>
      </c>
      <c r="I478" s="15" t="s">
        <v>300</v>
      </c>
      <c r="J478" s="15" t="s">
        <v>16</v>
      </c>
      <c r="K478" s="15" t="s">
        <v>44</v>
      </c>
      <c r="L478" s="15" t="s">
        <v>13</v>
      </c>
      <c r="M478" s="15" t="s">
        <v>47</v>
      </c>
      <c r="N478" s="15" t="s">
        <v>279</v>
      </c>
      <c r="O478" s="15" t="str">
        <f>_xlfn.XLOOKUP(N478,players!A:A,players!D:D,"")</f>
        <v>Jose Toledo</v>
      </c>
      <c r="P478" s="15" cm="1">
        <f t="array" ref="P478">_xlfn.XLOOKUP(I478&amp;N478,rosterSpots!B:B&amp;rosterSpots!D:D,rosterSpots!E:E,"")</f>
        <v>25</v>
      </c>
      <c r="Q478" s="15">
        <f xml:space="preserve"> (playerGameStats!$R478 * 2) + (playerGameStats!$S478 * 3) + (playerGameStats!$T478)</f>
        <v>2</v>
      </c>
      <c r="R478" s="15">
        <v>1</v>
      </c>
      <c r="S478" s="15">
        <v>0</v>
      </c>
      <c r="T478" s="15">
        <v>0</v>
      </c>
      <c r="U478" s="18">
        <v>0</v>
      </c>
    </row>
    <row r="479" spans="1:21" x14ac:dyDescent="0.25">
      <c r="A479" s="19" t="s">
        <v>318</v>
      </c>
      <c r="B479" s="20">
        <v>2026</v>
      </c>
      <c r="C479" s="20" t="s">
        <v>36</v>
      </c>
      <c r="D479" s="20">
        <v>7</v>
      </c>
      <c r="E479" s="21">
        <v>46161</v>
      </c>
      <c r="F479" s="22">
        <v>0.77083333333333337</v>
      </c>
      <c r="G479" s="20" t="s">
        <v>18</v>
      </c>
      <c r="H479" s="20" t="s">
        <v>310</v>
      </c>
      <c r="I479" s="20" t="s">
        <v>300</v>
      </c>
      <c r="J479" s="20" t="s">
        <v>16</v>
      </c>
      <c r="K479" s="20" t="s">
        <v>44</v>
      </c>
      <c r="L479" s="20" t="s">
        <v>13</v>
      </c>
      <c r="M479" s="20" t="s">
        <v>47</v>
      </c>
      <c r="N479" s="20" t="s">
        <v>280</v>
      </c>
      <c r="O479" s="20" t="str">
        <f>_xlfn.XLOOKUP(N479,players!A:A,players!D:D,"")</f>
        <v>Russel Verceles</v>
      </c>
      <c r="P479" s="20" cm="1">
        <f t="array" ref="P479">_xlfn.XLOOKUP(I479&amp;N479,rosterSpots!B:B&amp;rosterSpots!D:D,rosterSpots!E:E,"")</f>
        <v>32</v>
      </c>
      <c r="Q479" s="20">
        <f xml:space="preserve"> (playerGameStats!$R479 * 2) + (playerGameStats!$S479 * 3) + (playerGameStats!$T479)</f>
        <v>8</v>
      </c>
      <c r="R479" s="20">
        <v>3</v>
      </c>
      <c r="S479" s="20">
        <v>0</v>
      </c>
      <c r="T479" s="20">
        <v>2</v>
      </c>
      <c r="U479" s="23">
        <v>3</v>
      </c>
    </row>
    <row r="480" spans="1:21" x14ac:dyDescent="0.25">
      <c r="A480" s="19" t="s">
        <v>317</v>
      </c>
      <c r="B480" s="20">
        <v>2026</v>
      </c>
      <c r="C480" s="20" t="s">
        <v>36</v>
      </c>
      <c r="D480" s="20">
        <v>7</v>
      </c>
      <c r="E480" s="21">
        <v>46161</v>
      </c>
      <c r="F480" s="22">
        <v>0.8125</v>
      </c>
      <c r="G480" s="15" t="s">
        <v>18</v>
      </c>
      <c r="H480" s="20" t="s">
        <v>310</v>
      </c>
      <c r="I480" s="20" t="s">
        <v>294</v>
      </c>
      <c r="J480" s="20" t="s">
        <v>10</v>
      </c>
      <c r="K480" s="20" t="s">
        <v>42</v>
      </c>
      <c r="L480" s="20" t="s">
        <v>11</v>
      </c>
      <c r="M480" s="20" t="s">
        <v>45</v>
      </c>
      <c r="N480" s="20" t="s">
        <v>221</v>
      </c>
      <c r="O480" s="20" t="str">
        <f>_xlfn.XLOOKUP(N480,players!A:A,players!D:D,"")</f>
        <v>Dom Sepko</v>
      </c>
      <c r="P480" s="20" cm="1">
        <f t="array" ref="P480">_xlfn.XLOOKUP(I480&amp;N480,rosterSpots!B:B&amp;rosterSpots!D:D,rosterSpots!E:E,"")</f>
        <v>3</v>
      </c>
      <c r="Q480" s="20">
        <f xml:space="preserve"> (playerGameStats!$R480 * 2) + (playerGameStats!$S480 * 3) + (playerGameStats!$T480)</f>
        <v>6</v>
      </c>
      <c r="R480" s="20">
        <v>2</v>
      </c>
      <c r="S480" s="20">
        <v>0</v>
      </c>
      <c r="T480" s="20">
        <v>2</v>
      </c>
      <c r="U480" s="23">
        <v>2</v>
      </c>
    </row>
    <row r="481" spans="1:21" x14ac:dyDescent="0.25">
      <c r="A481" s="14" t="s">
        <v>317</v>
      </c>
      <c r="B481" s="15">
        <v>2026</v>
      </c>
      <c r="C481" s="15" t="s">
        <v>36</v>
      </c>
      <c r="D481" s="15">
        <v>7</v>
      </c>
      <c r="E481" s="16">
        <v>46161</v>
      </c>
      <c r="F481" s="17">
        <v>0.8125</v>
      </c>
      <c r="G481" s="15" t="s">
        <v>18</v>
      </c>
      <c r="H481" s="15" t="s">
        <v>310</v>
      </c>
      <c r="I481" s="15" t="s">
        <v>294</v>
      </c>
      <c r="J481" s="15" t="s">
        <v>10</v>
      </c>
      <c r="K481" s="15" t="s">
        <v>42</v>
      </c>
      <c r="L481" s="15" t="s">
        <v>11</v>
      </c>
      <c r="M481" s="15" t="s">
        <v>45</v>
      </c>
      <c r="N481" s="15" t="s">
        <v>219</v>
      </c>
      <c r="O481" s="15" t="str">
        <f>_xlfn.XLOOKUP(N481,players!A:A,players!D:D,"")</f>
        <v>Ryan Maloney</v>
      </c>
      <c r="P481" s="15" cm="1">
        <f t="array" ref="P481">_xlfn.XLOOKUP(I481&amp;N481,rosterSpots!B:B&amp;rosterSpots!D:D,rosterSpots!E:E,"")</f>
        <v>5</v>
      </c>
      <c r="Q481" s="15">
        <f xml:space="preserve"> (playerGameStats!$R481 * 2) + (playerGameStats!$S481 * 3) + (playerGameStats!$T481)</f>
        <v>4</v>
      </c>
      <c r="R481" s="15">
        <v>1</v>
      </c>
      <c r="S481" s="15">
        <v>0</v>
      </c>
      <c r="T481" s="15">
        <v>2</v>
      </c>
      <c r="U481" s="18">
        <v>4</v>
      </c>
    </row>
    <row r="482" spans="1:21" x14ac:dyDescent="0.25">
      <c r="A482" s="19" t="s">
        <v>317</v>
      </c>
      <c r="B482" s="20">
        <v>2026</v>
      </c>
      <c r="C482" s="20" t="s">
        <v>36</v>
      </c>
      <c r="D482" s="20">
        <v>7</v>
      </c>
      <c r="E482" s="21">
        <v>46161</v>
      </c>
      <c r="F482" s="22">
        <v>0.8125</v>
      </c>
      <c r="G482" s="15" t="s">
        <v>18</v>
      </c>
      <c r="H482" s="20" t="s">
        <v>310</v>
      </c>
      <c r="I482" s="20" t="s">
        <v>294</v>
      </c>
      <c r="J482" s="20" t="s">
        <v>10</v>
      </c>
      <c r="K482" s="20" t="s">
        <v>42</v>
      </c>
      <c r="L482" s="20" t="s">
        <v>11</v>
      </c>
      <c r="M482" s="20" t="s">
        <v>45</v>
      </c>
      <c r="N482" s="20" t="s">
        <v>218</v>
      </c>
      <c r="O482" s="20" t="str">
        <f>_xlfn.XLOOKUP(N482,players!A:A,players!D:D,"")</f>
        <v>Guy Johnson</v>
      </c>
      <c r="P482" s="20" cm="1">
        <f t="array" ref="P482">_xlfn.XLOOKUP(I482&amp;N482,rosterSpots!B:B&amp;rosterSpots!D:D,rosterSpots!E:E,"")</f>
        <v>9</v>
      </c>
      <c r="Q482" s="20">
        <f xml:space="preserve"> (playerGameStats!$R482 * 2) + (playerGameStats!$S482 * 3) + (playerGameStats!$T482)</f>
        <v>17</v>
      </c>
      <c r="R482" s="20">
        <v>4</v>
      </c>
      <c r="S482" s="20">
        <v>3</v>
      </c>
      <c r="T482" s="20">
        <v>0</v>
      </c>
      <c r="U482" s="23">
        <v>0</v>
      </c>
    </row>
    <row r="483" spans="1:21" x14ac:dyDescent="0.25">
      <c r="A483" s="19" t="s">
        <v>317</v>
      </c>
      <c r="B483" s="20">
        <v>2026</v>
      </c>
      <c r="C483" s="20" t="s">
        <v>36</v>
      </c>
      <c r="D483" s="20">
        <v>7</v>
      </c>
      <c r="E483" s="21">
        <v>46161</v>
      </c>
      <c r="F483" s="22">
        <v>0.8125</v>
      </c>
      <c r="G483" s="15" t="s">
        <v>18</v>
      </c>
      <c r="H483" s="20" t="s">
        <v>310</v>
      </c>
      <c r="I483" s="20" t="s">
        <v>294</v>
      </c>
      <c r="J483" s="20" t="s">
        <v>10</v>
      </c>
      <c r="K483" s="20" t="s">
        <v>42</v>
      </c>
      <c r="L483" s="20" t="s">
        <v>11</v>
      </c>
      <c r="M483" s="20" t="s">
        <v>45</v>
      </c>
      <c r="N483" s="20" t="s">
        <v>223</v>
      </c>
      <c r="O483" s="20" t="str">
        <f>_xlfn.XLOOKUP(N483,players!A:A,players!D:D,"")</f>
        <v>Clayton Kunzweiler</v>
      </c>
      <c r="P483" s="20" cm="1">
        <f t="array" ref="P483">_xlfn.XLOOKUP(I483&amp;N483,rosterSpots!B:B&amp;rosterSpots!D:D,rosterSpots!E:E,"")</f>
        <v>13</v>
      </c>
      <c r="Q483" s="20">
        <f xml:space="preserve"> (playerGameStats!$R483 * 2) + (playerGameStats!$S483 * 3) + (playerGameStats!$T483)</f>
        <v>6</v>
      </c>
      <c r="R483" s="20">
        <v>0</v>
      </c>
      <c r="S483" s="20">
        <v>2</v>
      </c>
      <c r="T483" s="20">
        <v>0</v>
      </c>
      <c r="U483" s="23">
        <v>4</v>
      </c>
    </row>
    <row r="484" spans="1:21" x14ac:dyDescent="0.25">
      <c r="A484" s="14" t="s">
        <v>317</v>
      </c>
      <c r="B484" s="15">
        <v>2026</v>
      </c>
      <c r="C484" s="15" t="s">
        <v>36</v>
      </c>
      <c r="D484" s="15">
        <v>7</v>
      </c>
      <c r="E484" s="16">
        <v>46161</v>
      </c>
      <c r="F484" s="17">
        <v>0.8125</v>
      </c>
      <c r="G484" s="15" t="s">
        <v>18</v>
      </c>
      <c r="H484" s="15" t="s">
        <v>310</v>
      </c>
      <c r="I484" s="15" t="s">
        <v>294</v>
      </c>
      <c r="J484" s="15" t="s">
        <v>10</v>
      </c>
      <c r="K484" s="15" t="s">
        <v>42</v>
      </c>
      <c r="L484" s="15" t="s">
        <v>11</v>
      </c>
      <c r="M484" s="15" t="s">
        <v>45</v>
      </c>
      <c r="N484" s="15" t="s">
        <v>220</v>
      </c>
      <c r="O484" s="15" t="str">
        <f>_xlfn.XLOOKUP(N484,players!A:A,players!D:D,"")</f>
        <v>Ryan Chapman</v>
      </c>
      <c r="P484" s="15" cm="1">
        <f t="array" ref="P484">_xlfn.XLOOKUP(I484&amp;N484,rosterSpots!B:B&amp;rosterSpots!D:D,rosterSpots!E:E,"")</f>
        <v>20</v>
      </c>
      <c r="Q484" s="15">
        <f xml:space="preserve"> (playerGameStats!$R484 * 2) + (playerGameStats!$S484 * 3) + (playerGameStats!$T484)</f>
        <v>4</v>
      </c>
      <c r="R484" s="15">
        <v>2</v>
      </c>
      <c r="S484" s="15">
        <v>0</v>
      </c>
      <c r="T484" s="15">
        <v>0</v>
      </c>
      <c r="U484" s="18">
        <v>0</v>
      </c>
    </row>
    <row r="485" spans="1:21" x14ac:dyDescent="0.25">
      <c r="A485" s="19" t="s">
        <v>317</v>
      </c>
      <c r="B485" s="20">
        <v>2026</v>
      </c>
      <c r="C485" s="20" t="s">
        <v>36</v>
      </c>
      <c r="D485" s="20">
        <v>7</v>
      </c>
      <c r="E485" s="21">
        <v>46161</v>
      </c>
      <c r="F485" s="22">
        <v>0.8125</v>
      </c>
      <c r="G485" s="15" t="s">
        <v>18</v>
      </c>
      <c r="H485" s="20" t="s">
        <v>310</v>
      </c>
      <c r="I485" s="20" t="s">
        <v>294</v>
      </c>
      <c r="J485" s="20" t="s">
        <v>10</v>
      </c>
      <c r="K485" s="20" t="s">
        <v>42</v>
      </c>
      <c r="L485" s="20" t="s">
        <v>11</v>
      </c>
      <c r="M485" s="20" t="s">
        <v>45</v>
      </c>
      <c r="N485" s="20" t="s">
        <v>215</v>
      </c>
      <c r="O485" s="20" t="str">
        <f>_xlfn.XLOOKUP(N485,players!A:A,players!D:D,"")</f>
        <v>Ryan Fontanazza</v>
      </c>
      <c r="P485" s="20" cm="1">
        <f t="array" ref="P485">_xlfn.XLOOKUP(I485&amp;N485,rosterSpots!B:B&amp;rosterSpots!D:D,rosterSpots!E:E,"")</f>
        <v>22</v>
      </c>
      <c r="Q485" s="20">
        <f xml:space="preserve"> (playerGameStats!$R485 * 2) + (playerGameStats!$S485 * 3) + (playerGameStats!$T485)</f>
        <v>11</v>
      </c>
      <c r="R485" s="20">
        <v>1</v>
      </c>
      <c r="S485" s="20">
        <v>3</v>
      </c>
      <c r="T485" s="20">
        <v>0</v>
      </c>
      <c r="U485" s="23">
        <v>0</v>
      </c>
    </row>
    <row r="486" spans="1:21" x14ac:dyDescent="0.25">
      <c r="A486" s="14" t="s">
        <v>317</v>
      </c>
      <c r="B486" s="15">
        <v>2026</v>
      </c>
      <c r="C486" s="15" t="s">
        <v>36</v>
      </c>
      <c r="D486" s="15">
        <v>7</v>
      </c>
      <c r="E486" s="16">
        <v>46161</v>
      </c>
      <c r="F486" s="17">
        <v>0.8125</v>
      </c>
      <c r="G486" s="15" t="s">
        <v>18</v>
      </c>
      <c r="H486" s="15" t="s">
        <v>310</v>
      </c>
      <c r="I486" s="15" t="s">
        <v>294</v>
      </c>
      <c r="J486" s="15" t="s">
        <v>10</v>
      </c>
      <c r="K486" s="15" t="s">
        <v>42</v>
      </c>
      <c r="L486" s="15" t="s">
        <v>11</v>
      </c>
      <c r="M486" s="15" t="s">
        <v>45</v>
      </c>
      <c r="N486" s="15" t="s">
        <v>224</v>
      </c>
      <c r="O486" s="15" t="str">
        <f>_xlfn.XLOOKUP(N486,players!A:A,players!D:D,"")</f>
        <v>MJ Pierre</v>
      </c>
      <c r="P486" s="15" cm="1">
        <f t="array" ref="P486">_xlfn.XLOOKUP(I486&amp;N486,rosterSpots!B:B&amp;rosterSpots!D:D,rosterSpots!E:E,"")</f>
        <v>24</v>
      </c>
      <c r="Q486" s="15">
        <f xml:space="preserve"> (playerGameStats!$R486 * 2) + (playerGameStats!$S486 * 3) + (playerGameStats!$T486)</f>
        <v>7</v>
      </c>
      <c r="R486" s="15">
        <v>2</v>
      </c>
      <c r="S486" s="15">
        <v>1</v>
      </c>
      <c r="T486" s="15">
        <v>0</v>
      </c>
      <c r="U486" s="18">
        <v>0</v>
      </c>
    </row>
    <row r="487" spans="1:21" x14ac:dyDescent="0.25">
      <c r="A487" s="19" t="s">
        <v>317</v>
      </c>
      <c r="B487" s="20">
        <v>2026</v>
      </c>
      <c r="C487" s="20" t="s">
        <v>36</v>
      </c>
      <c r="D487" s="20">
        <v>7</v>
      </c>
      <c r="E487" s="21">
        <v>46161</v>
      </c>
      <c r="F487" s="22">
        <v>0.8125</v>
      </c>
      <c r="G487" s="15" t="s">
        <v>18</v>
      </c>
      <c r="H487" s="20" t="s">
        <v>310</v>
      </c>
      <c r="I487" s="20" t="s">
        <v>294</v>
      </c>
      <c r="J487" s="20" t="s">
        <v>10</v>
      </c>
      <c r="K487" s="20" t="s">
        <v>42</v>
      </c>
      <c r="L487" s="20" t="s">
        <v>11</v>
      </c>
      <c r="M487" s="20" t="s">
        <v>45</v>
      </c>
      <c r="N487" s="20" t="s">
        <v>217</v>
      </c>
      <c r="O487" s="20" t="str">
        <f>_xlfn.XLOOKUP(N487,players!A:A,players!D:D,"")</f>
        <v>Sean Denson</v>
      </c>
      <c r="P487" s="20" cm="1">
        <f t="array" ref="P487">_xlfn.XLOOKUP(I487&amp;N487,rosterSpots!B:B&amp;rosterSpots!D:D,rosterSpots!E:E,"")</f>
        <v>33</v>
      </c>
      <c r="Q487" s="20">
        <f xml:space="preserve"> (playerGameStats!$R487 * 2) + (playerGameStats!$S487 * 3) + (playerGameStats!$T487)</f>
        <v>13</v>
      </c>
      <c r="R487" s="20">
        <v>3</v>
      </c>
      <c r="S487" s="20">
        <v>2</v>
      </c>
      <c r="T487" s="20">
        <v>1</v>
      </c>
      <c r="U487" s="23">
        <v>1</v>
      </c>
    </row>
    <row r="488" spans="1:21" x14ac:dyDescent="0.25">
      <c r="A488" s="14" t="s">
        <v>317</v>
      </c>
      <c r="B488" s="15">
        <v>2026</v>
      </c>
      <c r="C488" s="15" t="s">
        <v>36</v>
      </c>
      <c r="D488" s="15">
        <v>7</v>
      </c>
      <c r="E488" s="16">
        <v>46161</v>
      </c>
      <c r="F488" s="17">
        <v>0.8125</v>
      </c>
      <c r="G488" s="15" t="s">
        <v>18</v>
      </c>
      <c r="H488" s="15" t="s">
        <v>310</v>
      </c>
      <c r="I488" s="15" t="s">
        <v>295</v>
      </c>
      <c r="J488" s="15" t="s">
        <v>11</v>
      </c>
      <c r="K488" s="15" t="s">
        <v>45</v>
      </c>
      <c r="L488" s="15" t="s">
        <v>10</v>
      </c>
      <c r="M488" s="15" t="s">
        <v>42</v>
      </c>
      <c r="N488" s="15" t="s">
        <v>227</v>
      </c>
      <c r="O488" s="15" t="str">
        <f>_xlfn.XLOOKUP(N488,players!A:A,players!D:D,"")</f>
        <v>Dave Homsher</v>
      </c>
      <c r="P488" s="15" cm="1">
        <f t="array" ref="P488">_xlfn.XLOOKUP(I488&amp;N488,rosterSpots!B:B&amp;rosterSpots!D:D,rosterSpots!E:E,"")</f>
        <v>3</v>
      </c>
      <c r="Q488" s="15">
        <f xml:space="preserve"> (playerGameStats!$R488 * 2) + (playerGameStats!$S488 * 3) + (playerGameStats!$T488)</f>
        <v>6</v>
      </c>
      <c r="R488" s="15">
        <v>1</v>
      </c>
      <c r="S488" s="15">
        <v>1</v>
      </c>
      <c r="T488" s="15">
        <v>1</v>
      </c>
      <c r="U488" s="18">
        <v>2</v>
      </c>
    </row>
    <row r="489" spans="1:21" x14ac:dyDescent="0.25">
      <c r="A489" s="19" t="s">
        <v>317</v>
      </c>
      <c r="B489" s="20">
        <v>2026</v>
      </c>
      <c r="C489" s="20" t="s">
        <v>36</v>
      </c>
      <c r="D489" s="20">
        <v>7</v>
      </c>
      <c r="E489" s="21">
        <v>46161</v>
      </c>
      <c r="F489" s="22">
        <v>0.8125</v>
      </c>
      <c r="G489" s="15" t="s">
        <v>18</v>
      </c>
      <c r="H489" s="20" t="s">
        <v>310</v>
      </c>
      <c r="I489" s="20" t="s">
        <v>295</v>
      </c>
      <c r="J489" s="20" t="s">
        <v>11</v>
      </c>
      <c r="K489" s="20" t="s">
        <v>45</v>
      </c>
      <c r="L489" s="20" t="s">
        <v>10</v>
      </c>
      <c r="M489" s="20" t="s">
        <v>42</v>
      </c>
      <c r="N489" s="20" t="s">
        <v>230</v>
      </c>
      <c r="O489" s="20" t="str">
        <f>_xlfn.XLOOKUP(N489,players!A:A,players!D:D,"")</f>
        <v>Angel Carrion</v>
      </c>
      <c r="P489" s="20" cm="1">
        <f t="array" ref="P489">_xlfn.XLOOKUP(I489&amp;N489,rosterSpots!B:B&amp;rosterSpots!D:D,rosterSpots!E:E,"")</f>
        <v>7</v>
      </c>
      <c r="Q489" s="20">
        <f xml:space="preserve"> (playerGameStats!$R489 * 2) + (playerGameStats!$S489 * 3) + (playerGameStats!$T489)</f>
        <v>0</v>
      </c>
      <c r="R489" s="20">
        <v>0</v>
      </c>
      <c r="S489" s="20">
        <v>0</v>
      </c>
      <c r="T489" s="20">
        <v>0</v>
      </c>
      <c r="U489" s="23">
        <v>0</v>
      </c>
    </row>
    <row r="490" spans="1:21" x14ac:dyDescent="0.25">
      <c r="A490" s="14" t="s">
        <v>317</v>
      </c>
      <c r="B490" s="15">
        <v>2026</v>
      </c>
      <c r="C490" s="15" t="s">
        <v>36</v>
      </c>
      <c r="D490" s="15">
        <v>7</v>
      </c>
      <c r="E490" s="16">
        <v>46161</v>
      </c>
      <c r="F490" s="17">
        <v>0.8125</v>
      </c>
      <c r="G490" s="15" t="s">
        <v>18</v>
      </c>
      <c r="H490" s="15" t="s">
        <v>310</v>
      </c>
      <c r="I490" s="15" t="s">
        <v>295</v>
      </c>
      <c r="J490" s="15" t="s">
        <v>11</v>
      </c>
      <c r="K490" s="15" t="s">
        <v>45</v>
      </c>
      <c r="L490" s="15" t="s">
        <v>10</v>
      </c>
      <c r="M490" s="15" t="s">
        <v>42</v>
      </c>
      <c r="N490" s="15" t="s">
        <v>307</v>
      </c>
      <c r="O490" s="15" t="str">
        <f>_xlfn.XLOOKUP(N490,players!A:A,players!D:D,"")</f>
        <v>Thomas Nasto</v>
      </c>
      <c r="P490" s="15" cm="1">
        <f t="array" ref="P490">_xlfn.XLOOKUP(I490&amp;N490,rosterSpots!B:B&amp;rosterSpots!D:D,rosterSpots!E:E,"")</f>
        <v>9</v>
      </c>
      <c r="Q490" s="15">
        <f xml:space="preserve"> (playerGameStats!$R490 * 2) + (playerGameStats!$S490 * 3) + (playerGameStats!$T490)</f>
        <v>7</v>
      </c>
      <c r="R490" s="15">
        <v>3</v>
      </c>
      <c r="S490" s="15">
        <v>0</v>
      </c>
      <c r="T490" s="15">
        <v>1</v>
      </c>
      <c r="U490" s="18">
        <v>1</v>
      </c>
    </row>
    <row r="491" spans="1:21" x14ac:dyDescent="0.25">
      <c r="A491" s="14" t="s">
        <v>317</v>
      </c>
      <c r="B491" s="15">
        <v>2026</v>
      </c>
      <c r="C491" s="15" t="s">
        <v>36</v>
      </c>
      <c r="D491" s="15">
        <v>7</v>
      </c>
      <c r="E491" s="16">
        <v>46161</v>
      </c>
      <c r="F491" s="17">
        <v>0.8125</v>
      </c>
      <c r="G491" s="15" t="s">
        <v>18</v>
      </c>
      <c r="H491" s="15" t="s">
        <v>310</v>
      </c>
      <c r="I491" s="15" t="s">
        <v>295</v>
      </c>
      <c r="J491" s="15" t="s">
        <v>11</v>
      </c>
      <c r="K491" s="15" t="s">
        <v>45</v>
      </c>
      <c r="L491" s="15" t="s">
        <v>10</v>
      </c>
      <c r="M491" s="15" t="s">
        <v>42</v>
      </c>
      <c r="N491" s="15" t="s">
        <v>234</v>
      </c>
      <c r="O491" s="15" t="str">
        <f>_xlfn.XLOOKUP(N491,players!A:A,players!D:D,"")</f>
        <v>Brendan Scott</v>
      </c>
      <c r="P491" s="15" cm="1">
        <f t="array" ref="P491">_xlfn.XLOOKUP(I491&amp;N491,rosterSpots!B:B&amp;rosterSpots!D:D,rosterSpots!E:E,"")</f>
        <v>11</v>
      </c>
      <c r="Q491" s="15">
        <f xml:space="preserve"> (playerGameStats!$R491 * 2) + (playerGameStats!$S491 * 3) + (playerGameStats!$T491)</f>
        <v>5</v>
      </c>
      <c r="R491" s="15">
        <v>1</v>
      </c>
      <c r="S491" s="15">
        <v>1</v>
      </c>
      <c r="T491" s="15">
        <v>0</v>
      </c>
      <c r="U491" s="18">
        <v>0</v>
      </c>
    </row>
    <row r="492" spans="1:21" x14ac:dyDescent="0.25">
      <c r="A492" s="19" t="s">
        <v>317</v>
      </c>
      <c r="B492" s="20">
        <v>2026</v>
      </c>
      <c r="C492" s="20" t="s">
        <v>36</v>
      </c>
      <c r="D492" s="20">
        <v>7</v>
      </c>
      <c r="E492" s="21">
        <v>46161</v>
      </c>
      <c r="F492" s="22">
        <v>0.8125</v>
      </c>
      <c r="G492" s="15" t="s">
        <v>18</v>
      </c>
      <c r="H492" s="20" t="s">
        <v>310</v>
      </c>
      <c r="I492" s="20" t="s">
        <v>295</v>
      </c>
      <c r="J492" s="20" t="s">
        <v>11</v>
      </c>
      <c r="K492" s="20" t="s">
        <v>45</v>
      </c>
      <c r="L492" s="20" t="s">
        <v>10</v>
      </c>
      <c r="M492" s="20" t="s">
        <v>42</v>
      </c>
      <c r="N492" s="20" t="s">
        <v>228</v>
      </c>
      <c r="O492" s="20" t="str">
        <f>_xlfn.XLOOKUP(N492,players!A:A,players!D:D,"")</f>
        <v>Scott Brusseler</v>
      </c>
      <c r="P492" s="20" cm="1">
        <f t="array" ref="P492">_xlfn.XLOOKUP(I492&amp;N492,rosterSpots!B:B&amp;rosterSpots!D:D,rosterSpots!E:E,"")</f>
        <v>14</v>
      </c>
      <c r="Q492" s="20">
        <f xml:space="preserve"> (playerGameStats!$R492 * 2) + (playerGameStats!$S492 * 3) + (playerGameStats!$T492)</f>
        <v>5</v>
      </c>
      <c r="R492" s="20">
        <v>2</v>
      </c>
      <c r="S492" s="20">
        <v>0</v>
      </c>
      <c r="T492" s="20">
        <v>1</v>
      </c>
      <c r="U492" s="23">
        <v>4</v>
      </c>
    </row>
    <row r="493" spans="1:21" x14ac:dyDescent="0.25">
      <c r="A493" s="19" t="s">
        <v>317</v>
      </c>
      <c r="B493" s="20">
        <v>2026</v>
      </c>
      <c r="C493" s="20" t="s">
        <v>36</v>
      </c>
      <c r="D493" s="20">
        <v>7</v>
      </c>
      <c r="E493" s="21">
        <v>46161</v>
      </c>
      <c r="F493" s="22">
        <v>0.8125</v>
      </c>
      <c r="G493" s="15" t="s">
        <v>18</v>
      </c>
      <c r="H493" s="20" t="s">
        <v>310</v>
      </c>
      <c r="I493" s="20" t="s">
        <v>295</v>
      </c>
      <c r="J493" s="20" t="s">
        <v>11</v>
      </c>
      <c r="K493" s="20" t="s">
        <v>45</v>
      </c>
      <c r="L493" s="20" t="s">
        <v>10</v>
      </c>
      <c r="M493" s="20" t="s">
        <v>42</v>
      </c>
      <c r="N493" s="20" t="s">
        <v>231</v>
      </c>
      <c r="O493" s="20" t="str">
        <f>_xlfn.XLOOKUP(N493,players!A:A,players!D:D,"")</f>
        <v>Gates Brooks</v>
      </c>
      <c r="P493" s="20" cm="1">
        <f t="array" ref="P493">_xlfn.XLOOKUP(I493&amp;N493,rosterSpots!B:B&amp;rosterSpots!D:D,rosterSpots!E:E,"")</f>
        <v>43</v>
      </c>
      <c r="Q493" s="20">
        <f xml:space="preserve"> (playerGameStats!$R493 * 2) + (playerGameStats!$S493 * 3) + (playerGameStats!$T493)</f>
        <v>5</v>
      </c>
      <c r="R493" s="20">
        <v>1</v>
      </c>
      <c r="S493" s="20">
        <v>1</v>
      </c>
      <c r="T493" s="20">
        <v>0</v>
      </c>
      <c r="U493" s="23">
        <v>0</v>
      </c>
    </row>
    <row r="494" spans="1:21" x14ac:dyDescent="0.25">
      <c r="A494" s="14" t="s">
        <v>317</v>
      </c>
      <c r="B494" s="15">
        <v>2026</v>
      </c>
      <c r="C494" s="15" t="s">
        <v>36</v>
      </c>
      <c r="D494" s="15">
        <v>7</v>
      </c>
      <c r="E494" s="16">
        <v>46161</v>
      </c>
      <c r="F494" s="17">
        <v>0.8125</v>
      </c>
      <c r="G494" s="15" t="s">
        <v>18</v>
      </c>
      <c r="H494" s="15" t="s">
        <v>310</v>
      </c>
      <c r="I494" s="15" t="s">
        <v>295</v>
      </c>
      <c r="J494" s="15" t="s">
        <v>11</v>
      </c>
      <c r="K494" s="15" t="s">
        <v>45</v>
      </c>
      <c r="L494" s="15" t="s">
        <v>10</v>
      </c>
      <c r="M494" s="15" t="s">
        <v>42</v>
      </c>
      <c r="N494" s="15" t="s">
        <v>229</v>
      </c>
      <c r="O494" s="15" t="str">
        <f>_xlfn.XLOOKUP(N494,players!A:A,players!D:D,"")</f>
        <v>Anthony Shelepets</v>
      </c>
      <c r="P494" s="15" cm="1">
        <f t="array" ref="P494">_xlfn.XLOOKUP(I494&amp;N494,rosterSpots!B:B&amp;rosterSpots!D:D,rosterSpots!E:E,"")</f>
        <v>53</v>
      </c>
      <c r="Q494" s="15">
        <f xml:space="preserve"> (playerGameStats!$R494 * 2) + (playerGameStats!$S494 * 3) + (playerGameStats!$T494)</f>
        <v>7</v>
      </c>
      <c r="R494" s="15">
        <v>3</v>
      </c>
      <c r="S494" s="15">
        <v>0</v>
      </c>
      <c r="T494" s="15">
        <v>1</v>
      </c>
      <c r="U494" s="18">
        <v>2</v>
      </c>
    </row>
    <row r="495" spans="1:21" x14ac:dyDescent="0.25">
      <c r="A495" s="19" t="s">
        <v>316</v>
      </c>
      <c r="B495" s="20">
        <v>2026</v>
      </c>
      <c r="C495" s="20" t="s">
        <v>36</v>
      </c>
      <c r="D495" s="20">
        <v>7</v>
      </c>
      <c r="E495" s="21">
        <v>46161</v>
      </c>
      <c r="F495" s="22">
        <v>0.85416666666666663</v>
      </c>
      <c r="G495" s="15" t="s">
        <v>18</v>
      </c>
      <c r="H495" s="20" t="s">
        <v>310</v>
      </c>
      <c r="I495" s="20" t="s">
        <v>301</v>
      </c>
      <c r="J495" s="20" t="s">
        <v>17</v>
      </c>
      <c r="K495" s="20" t="s">
        <v>49</v>
      </c>
      <c r="L495" s="20" t="s">
        <v>14</v>
      </c>
      <c r="M495" s="20" t="s">
        <v>43</v>
      </c>
      <c r="N495" s="20" t="s">
        <v>285</v>
      </c>
      <c r="O495" s="20" t="str">
        <f>_xlfn.XLOOKUP(N495,players!A:A,players!D:D,"")</f>
        <v>Raeid Choudhury</v>
      </c>
      <c r="P495" s="20" cm="1">
        <f t="array" ref="P495">_xlfn.XLOOKUP(I495&amp;N495,rosterSpots!B:B&amp;rosterSpots!D:D,rosterSpots!E:E,"")</f>
        <v>1</v>
      </c>
      <c r="Q495" s="20">
        <f xml:space="preserve"> (playerGameStats!$R495 * 2) + (playerGameStats!$S495 * 3) + (playerGameStats!$T495)</f>
        <v>3</v>
      </c>
      <c r="R495" s="20">
        <v>0</v>
      </c>
      <c r="S495" s="20">
        <v>1</v>
      </c>
      <c r="T495" s="20">
        <v>0</v>
      </c>
      <c r="U495" s="23">
        <v>0</v>
      </c>
    </row>
    <row r="496" spans="1:21" x14ac:dyDescent="0.25">
      <c r="A496" s="19" t="s">
        <v>316</v>
      </c>
      <c r="B496" s="20">
        <v>2026</v>
      </c>
      <c r="C496" s="20" t="s">
        <v>36</v>
      </c>
      <c r="D496" s="20">
        <v>7</v>
      </c>
      <c r="E496" s="21">
        <v>46161</v>
      </c>
      <c r="F496" s="22">
        <v>0.85416666666666663</v>
      </c>
      <c r="G496" s="15" t="s">
        <v>18</v>
      </c>
      <c r="H496" s="20" t="s">
        <v>310</v>
      </c>
      <c r="I496" s="20" t="s">
        <v>301</v>
      </c>
      <c r="J496" s="20" t="s">
        <v>17</v>
      </c>
      <c r="K496" s="20" t="s">
        <v>49</v>
      </c>
      <c r="L496" s="20" t="s">
        <v>14</v>
      </c>
      <c r="M496" s="20" t="s">
        <v>43</v>
      </c>
      <c r="N496" s="20" t="s">
        <v>288</v>
      </c>
      <c r="O496" s="20" t="str">
        <f>_xlfn.XLOOKUP(N496,players!A:A,players!D:D,"")</f>
        <v>Vanardo Banks</v>
      </c>
      <c r="P496" s="20" cm="1">
        <f t="array" ref="P496">_xlfn.XLOOKUP(I496&amp;N496,rosterSpots!B:B&amp;rosterSpots!D:D,rosterSpots!E:E,"")</f>
        <v>10</v>
      </c>
      <c r="Q496" s="20">
        <f xml:space="preserve"> (playerGameStats!$R496 * 2) + (playerGameStats!$S496 * 3) + (playerGameStats!$T496)</f>
        <v>4</v>
      </c>
      <c r="R496" s="20">
        <v>2</v>
      </c>
      <c r="S496" s="20">
        <v>0</v>
      </c>
      <c r="T496" s="20">
        <v>0</v>
      </c>
      <c r="U496" s="23">
        <v>0</v>
      </c>
    </row>
    <row r="497" spans="1:21" x14ac:dyDescent="0.25">
      <c r="A497" s="14" t="s">
        <v>316</v>
      </c>
      <c r="B497" s="15">
        <v>2026</v>
      </c>
      <c r="C497" s="15" t="s">
        <v>36</v>
      </c>
      <c r="D497" s="15">
        <v>7</v>
      </c>
      <c r="E497" s="16">
        <v>46161</v>
      </c>
      <c r="F497" s="17">
        <v>0.85416666666666663</v>
      </c>
      <c r="G497" s="15" t="s">
        <v>18</v>
      </c>
      <c r="H497" s="15" t="s">
        <v>310</v>
      </c>
      <c r="I497" s="15" t="s">
        <v>301</v>
      </c>
      <c r="J497" s="15" t="s">
        <v>17</v>
      </c>
      <c r="K497" s="15" t="s">
        <v>49</v>
      </c>
      <c r="L497" s="15" t="s">
        <v>14</v>
      </c>
      <c r="M497" s="15" t="s">
        <v>43</v>
      </c>
      <c r="N497" s="15" t="s">
        <v>292</v>
      </c>
      <c r="O497" s="15" t="str">
        <f>_xlfn.XLOOKUP(N497,players!A:A,players!D:D,"")</f>
        <v>Junior Peralta</v>
      </c>
      <c r="P497" s="15" cm="1">
        <f t="array" ref="P497">_xlfn.XLOOKUP(I497&amp;N497,rosterSpots!B:B&amp;rosterSpots!D:D,rosterSpots!E:E,"")</f>
        <v>12</v>
      </c>
      <c r="Q497" s="15">
        <f xml:space="preserve"> (playerGameStats!$R497 * 2) + (playerGameStats!$S497 * 3) + (playerGameStats!$T497)</f>
        <v>0</v>
      </c>
      <c r="R497" s="15">
        <v>0</v>
      </c>
      <c r="S497" s="15">
        <v>0</v>
      </c>
      <c r="T497" s="15">
        <v>0</v>
      </c>
      <c r="U497" s="18">
        <v>0</v>
      </c>
    </row>
    <row r="498" spans="1:21" x14ac:dyDescent="0.25">
      <c r="A498" s="19" t="s">
        <v>316</v>
      </c>
      <c r="B498" s="20">
        <v>2026</v>
      </c>
      <c r="C498" s="20" t="s">
        <v>36</v>
      </c>
      <c r="D498" s="20">
        <v>7</v>
      </c>
      <c r="E498" s="21">
        <v>46161</v>
      </c>
      <c r="F498" s="22">
        <v>0.85416666666666663</v>
      </c>
      <c r="G498" s="15" t="s">
        <v>18</v>
      </c>
      <c r="H498" s="20" t="s">
        <v>310</v>
      </c>
      <c r="I498" s="20" t="s">
        <v>301</v>
      </c>
      <c r="J498" s="20" t="s">
        <v>17</v>
      </c>
      <c r="K498" s="20" t="s">
        <v>49</v>
      </c>
      <c r="L498" s="20" t="s">
        <v>14</v>
      </c>
      <c r="M498" s="20" t="s">
        <v>43</v>
      </c>
      <c r="N498" s="20" t="s">
        <v>283</v>
      </c>
      <c r="O498" s="20" t="str">
        <f>_xlfn.XLOOKUP(N498,players!A:A,players!D:D,"")</f>
        <v>Jordan Williams</v>
      </c>
      <c r="P498" s="20" cm="1">
        <f t="array" ref="P498">_xlfn.XLOOKUP(I498&amp;N498,rosterSpots!B:B&amp;rosterSpots!D:D,rosterSpots!E:E,"")</f>
        <v>15</v>
      </c>
      <c r="Q498" s="20">
        <f xml:space="preserve"> (playerGameStats!$R498 * 2) + (playerGameStats!$S498 * 3) + (playerGameStats!$T498)</f>
        <v>8</v>
      </c>
      <c r="R498" s="20">
        <v>1</v>
      </c>
      <c r="S498" s="20">
        <v>1</v>
      </c>
      <c r="T498" s="20">
        <v>3</v>
      </c>
      <c r="U498" s="23">
        <v>4</v>
      </c>
    </row>
    <row r="499" spans="1:21" x14ac:dyDescent="0.25">
      <c r="A499" s="19" t="s">
        <v>316</v>
      </c>
      <c r="B499" s="20">
        <v>2026</v>
      </c>
      <c r="C499" s="20" t="s">
        <v>36</v>
      </c>
      <c r="D499" s="20">
        <v>7</v>
      </c>
      <c r="E499" s="21">
        <v>46161</v>
      </c>
      <c r="F499" s="22">
        <v>0.85416666666666663</v>
      </c>
      <c r="G499" s="15" t="s">
        <v>18</v>
      </c>
      <c r="H499" s="20" t="s">
        <v>310</v>
      </c>
      <c r="I499" s="20" t="s">
        <v>301</v>
      </c>
      <c r="J499" s="20" t="s">
        <v>17</v>
      </c>
      <c r="K499" s="20" t="s">
        <v>49</v>
      </c>
      <c r="L499" s="20" t="s">
        <v>14</v>
      </c>
      <c r="M499" s="20" t="s">
        <v>43</v>
      </c>
      <c r="N499" s="20" t="s">
        <v>291</v>
      </c>
      <c r="O499" s="20" t="str">
        <f>_xlfn.XLOOKUP(N499,players!A:A,players!D:D,"")</f>
        <v>Nkenna Opara</v>
      </c>
      <c r="P499" s="20" cm="1">
        <f t="array" ref="P499">_xlfn.XLOOKUP(I499&amp;N499,rosterSpots!B:B&amp;rosterSpots!D:D,rosterSpots!E:E,"")</f>
        <v>23</v>
      </c>
      <c r="Q499" s="20">
        <f xml:space="preserve"> (playerGameStats!$R499 * 2) + (playerGameStats!$S499 * 3) + (playerGameStats!$T499)</f>
        <v>7</v>
      </c>
      <c r="R499" s="20">
        <v>0</v>
      </c>
      <c r="S499" s="20">
        <v>1</v>
      </c>
      <c r="T499" s="20">
        <v>4</v>
      </c>
      <c r="U499" s="23">
        <v>4</v>
      </c>
    </row>
    <row r="500" spans="1:21" x14ac:dyDescent="0.25">
      <c r="A500" s="14" t="s">
        <v>316</v>
      </c>
      <c r="B500" s="15">
        <v>2026</v>
      </c>
      <c r="C500" s="15" t="s">
        <v>36</v>
      </c>
      <c r="D500" s="15">
        <v>7</v>
      </c>
      <c r="E500" s="16">
        <v>46161</v>
      </c>
      <c r="F500" s="17">
        <v>0.85416666666666663</v>
      </c>
      <c r="G500" s="15" t="s">
        <v>18</v>
      </c>
      <c r="H500" s="15" t="s">
        <v>310</v>
      </c>
      <c r="I500" s="15" t="s">
        <v>301</v>
      </c>
      <c r="J500" s="15" t="s">
        <v>17</v>
      </c>
      <c r="K500" s="15" t="s">
        <v>49</v>
      </c>
      <c r="L500" s="15" t="s">
        <v>14</v>
      </c>
      <c r="M500" s="15" t="s">
        <v>43</v>
      </c>
      <c r="N500" s="15" t="s">
        <v>293</v>
      </c>
      <c r="O500" s="15" t="str">
        <f>_xlfn.XLOOKUP(N500,players!A:A,players!D:D,"")</f>
        <v>Jossell De Coteau</v>
      </c>
      <c r="P500" s="15" cm="1">
        <f t="array" ref="P500">_xlfn.XLOOKUP(I500&amp;N500,rosterSpots!B:B&amp;rosterSpots!D:D,rosterSpots!E:E,"")</f>
        <v>28</v>
      </c>
      <c r="Q500" s="15">
        <f xml:space="preserve"> (playerGameStats!$R500 * 2) + (playerGameStats!$S500 * 3) + (playerGameStats!$T500)</f>
        <v>2</v>
      </c>
      <c r="R500" s="15">
        <v>1</v>
      </c>
      <c r="S500" s="15">
        <v>0</v>
      </c>
      <c r="T500" s="15">
        <v>0</v>
      </c>
      <c r="U500" s="18">
        <v>0</v>
      </c>
    </row>
    <row r="501" spans="1:21" x14ac:dyDescent="0.25">
      <c r="A501" s="14" t="s">
        <v>316</v>
      </c>
      <c r="B501" s="15">
        <v>2026</v>
      </c>
      <c r="C501" s="15" t="s">
        <v>36</v>
      </c>
      <c r="D501" s="15">
        <v>7</v>
      </c>
      <c r="E501" s="16">
        <v>46161</v>
      </c>
      <c r="F501" s="17">
        <v>0.85416666666666663</v>
      </c>
      <c r="G501" s="15" t="s">
        <v>18</v>
      </c>
      <c r="H501" s="15" t="s">
        <v>310</v>
      </c>
      <c r="I501" s="15" t="s">
        <v>299</v>
      </c>
      <c r="J501" s="15" t="s">
        <v>14</v>
      </c>
      <c r="K501" s="15" t="s">
        <v>43</v>
      </c>
      <c r="L501" s="15" t="s">
        <v>17</v>
      </c>
      <c r="M501" s="15" t="s">
        <v>49</v>
      </c>
      <c r="N501" s="15" t="s">
        <v>271</v>
      </c>
      <c r="O501" s="15" t="str">
        <f>_xlfn.XLOOKUP(N501,players!A:A,players!D:D,"")</f>
        <v>Courtney Cubbage</v>
      </c>
      <c r="P501" s="15" cm="1">
        <f t="array" ref="P501">_xlfn.XLOOKUP(I501&amp;N501,rosterSpots!B:B&amp;rosterSpots!D:D,rosterSpots!E:E,"")</f>
        <v>1</v>
      </c>
      <c r="Q501" s="15">
        <f xml:space="preserve"> (playerGameStats!$R501 * 2) + (playerGameStats!$S501 * 3) + (playerGameStats!$T501)</f>
        <v>13</v>
      </c>
      <c r="R501" s="15">
        <v>4</v>
      </c>
      <c r="S501" s="15">
        <v>0</v>
      </c>
      <c r="T501" s="15">
        <v>5</v>
      </c>
      <c r="U501" s="18">
        <v>5</v>
      </c>
    </row>
    <row r="502" spans="1:21" x14ac:dyDescent="0.25">
      <c r="A502" s="19" t="s">
        <v>316</v>
      </c>
      <c r="B502" s="20">
        <v>2026</v>
      </c>
      <c r="C502" s="20" t="s">
        <v>36</v>
      </c>
      <c r="D502" s="20">
        <v>7</v>
      </c>
      <c r="E502" s="21">
        <v>46161</v>
      </c>
      <c r="F502" s="22">
        <v>0.85416666666666663</v>
      </c>
      <c r="G502" s="15" t="s">
        <v>18</v>
      </c>
      <c r="H502" s="20" t="s">
        <v>310</v>
      </c>
      <c r="I502" s="20" t="s">
        <v>299</v>
      </c>
      <c r="J502" s="20" t="s">
        <v>14</v>
      </c>
      <c r="K502" s="20" t="s">
        <v>43</v>
      </c>
      <c r="L502" s="20" t="s">
        <v>17</v>
      </c>
      <c r="M502" s="20" t="s">
        <v>49</v>
      </c>
      <c r="N502" s="20" t="s">
        <v>268</v>
      </c>
      <c r="O502" s="20" t="str">
        <f>_xlfn.XLOOKUP(N502,players!A:A,players!D:D,"")</f>
        <v>Bassang Atoulelou</v>
      </c>
      <c r="P502" s="20" cm="1">
        <f t="array" ref="P502">_xlfn.XLOOKUP(I502&amp;N502,rosterSpots!B:B&amp;rosterSpots!D:D,rosterSpots!E:E,"")</f>
        <v>2</v>
      </c>
      <c r="Q502" s="20">
        <f xml:space="preserve"> (playerGameStats!$R502 * 2) + (playerGameStats!$S502 * 3) + (playerGameStats!$T502)</f>
        <v>3</v>
      </c>
      <c r="R502" s="20">
        <v>0</v>
      </c>
      <c r="S502" s="20">
        <v>1</v>
      </c>
      <c r="T502" s="20">
        <v>0</v>
      </c>
      <c r="U502" s="23">
        <v>0</v>
      </c>
    </row>
    <row r="503" spans="1:21" x14ac:dyDescent="0.25">
      <c r="A503" s="19" t="s">
        <v>316</v>
      </c>
      <c r="B503" s="20">
        <v>2026</v>
      </c>
      <c r="C503" s="20" t="s">
        <v>36</v>
      </c>
      <c r="D503" s="20">
        <v>7</v>
      </c>
      <c r="E503" s="21">
        <v>46161</v>
      </c>
      <c r="F503" s="22">
        <v>0.85416666666666663</v>
      </c>
      <c r="G503" s="15" t="s">
        <v>18</v>
      </c>
      <c r="H503" s="20" t="s">
        <v>310</v>
      </c>
      <c r="I503" s="20" t="s">
        <v>299</v>
      </c>
      <c r="J503" s="20" t="s">
        <v>14</v>
      </c>
      <c r="K503" s="20" t="s">
        <v>43</v>
      </c>
      <c r="L503" s="20" t="s">
        <v>17</v>
      </c>
      <c r="M503" s="20" t="s">
        <v>49</v>
      </c>
      <c r="N503" s="20" t="s">
        <v>267</v>
      </c>
      <c r="O503" s="20" t="str">
        <f>_xlfn.XLOOKUP(N503,players!A:A,players!D:D,"")</f>
        <v>Keshon Coleman</v>
      </c>
      <c r="P503" s="20" cm="1">
        <f t="array" ref="P503">_xlfn.XLOOKUP(I503&amp;N503,rosterSpots!B:B&amp;rosterSpots!D:D,rosterSpots!E:E,"")</f>
        <v>4</v>
      </c>
      <c r="Q503" s="20">
        <f xml:space="preserve"> (playerGameStats!$R503 * 2) + (playerGameStats!$S503 * 3) + (playerGameStats!$T503)</f>
        <v>11</v>
      </c>
      <c r="R503" s="20">
        <v>4</v>
      </c>
      <c r="S503" s="20">
        <v>1</v>
      </c>
      <c r="T503" s="20">
        <v>0</v>
      </c>
      <c r="U503" s="23">
        <v>0</v>
      </c>
    </row>
    <row r="504" spans="1:21" x14ac:dyDescent="0.25">
      <c r="A504" s="19" t="s">
        <v>316</v>
      </c>
      <c r="B504" s="20">
        <v>2026</v>
      </c>
      <c r="C504" s="20" t="s">
        <v>36</v>
      </c>
      <c r="D504" s="20">
        <v>7</v>
      </c>
      <c r="E504" s="21">
        <v>46161</v>
      </c>
      <c r="F504" s="22">
        <v>0.85416666666666663</v>
      </c>
      <c r="G504" s="15" t="s">
        <v>18</v>
      </c>
      <c r="H504" s="20" t="s">
        <v>310</v>
      </c>
      <c r="I504" s="20" t="s">
        <v>299</v>
      </c>
      <c r="J504" s="20" t="s">
        <v>14</v>
      </c>
      <c r="K504" s="20" t="s">
        <v>43</v>
      </c>
      <c r="L504" s="20" t="s">
        <v>17</v>
      </c>
      <c r="M504" s="20" t="s">
        <v>49</v>
      </c>
      <c r="N504" s="20" t="s">
        <v>270</v>
      </c>
      <c r="O504" s="20" t="str">
        <f>_xlfn.XLOOKUP(N504,players!A:A,players!D:D,"")</f>
        <v>Thomas Lynen</v>
      </c>
      <c r="P504" s="20" cm="1">
        <f t="array" ref="P504">_xlfn.XLOOKUP(I504&amp;N504,rosterSpots!B:B&amp;rosterSpots!D:D,rosterSpots!E:E,"")</f>
        <v>7</v>
      </c>
      <c r="Q504" s="20">
        <f xml:space="preserve"> (playerGameStats!$R504 * 2) + (playerGameStats!$S504 * 3) + (playerGameStats!$T504)</f>
        <v>7</v>
      </c>
      <c r="R504" s="20">
        <v>2</v>
      </c>
      <c r="S504" s="20">
        <v>1</v>
      </c>
      <c r="T504" s="20">
        <v>0</v>
      </c>
      <c r="U504" s="23">
        <v>0</v>
      </c>
    </row>
    <row r="505" spans="1:21" x14ac:dyDescent="0.25">
      <c r="A505" s="19" t="s">
        <v>316</v>
      </c>
      <c r="B505" s="20">
        <v>2026</v>
      </c>
      <c r="C505" s="20" t="s">
        <v>36</v>
      </c>
      <c r="D505" s="20">
        <v>7</v>
      </c>
      <c r="E505" s="21">
        <v>46161</v>
      </c>
      <c r="F505" s="22">
        <v>0.85416666666666663</v>
      </c>
      <c r="G505" s="15" t="s">
        <v>18</v>
      </c>
      <c r="H505" s="20" t="s">
        <v>310</v>
      </c>
      <c r="I505" s="20" t="s">
        <v>299</v>
      </c>
      <c r="J505" s="20" t="s">
        <v>14</v>
      </c>
      <c r="K505" s="20" t="s">
        <v>43</v>
      </c>
      <c r="L505" s="20" t="s">
        <v>17</v>
      </c>
      <c r="M505" s="20" t="s">
        <v>49</v>
      </c>
      <c r="N505" s="20" t="s">
        <v>262</v>
      </c>
      <c r="O505" s="20" t="str">
        <f>_xlfn.XLOOKUP(N505,players!A:A,players!D:D,"")</f>
        <v>Connor Thomas</v>
      </c>
      <c r="P505" s="20" cm="1">
        <f t="array" ref="P505">_xlfn.XLOOKUP(I505&amp;N505,rosterSpots!B:B&amp;rosterSpots!D:D,rosterSpots!E:E,"")</f>
        <v>9</v>
      </c>
      <c r="Q505" s="20">
        <f xml:space="preserve"> (playerGameStats!$R505 * 2) + (playerGameStats!$S505 * 3) + (playerGameStats!$T505)</f>
        <v>14</v>
      </c>
      <c r="R505" s="20">
        <v>4</v>
      </c>
      <c r="S505" s="20">
        <v>2</v>
      </c>
      <c r="T505" s="20">
        <v>0</v>
      </c>
      <c r="U505" s="23">
        <v>0</v>
      </c>
    </row>
    <row r="506" spans="1:21" x14ac:dyDescent="0.25">
      <c r="A506" s="19" t="s">
        <v>316</v>
      </c>
      <c r="B506" s="20">
        <v>2026</v>
      </c>
      <c r="C506" s="20" t="s">
        <v>36</v>
      </c>
      <c r="D506" s="20">
        <v>7</v>
      </c>
      <c r="E506" s="21">
        <v>46161</v>
      </c>
      <c r="F506" s="22">
        <v>0.85416666666666663</v>
      </c>
      <c r="G506" s="15" t="s">
        <v>18</v>
      </c>
      <c r="H506" s="20" t="s">
        <v>310</v>
      </c>
      <c r="I506" s="20" t="s">
        <v>299</v>
      </c>
      <c r="J506" s="20" t="s">
        <v>14</v>
      </c>
      <c r="K506" s="20" t="s">
        <v>43</v>
      </c>
      <c r="L506" s="20" t="s">
        <v>17</v>
      </c>
      <c r="M506" s="20" t="s">
        <v>49</v>
      </c>
      <c r="N506" s="20" t="s">
        <v>266</v>
      </c>
      <c r="O506" s="20" t="str">
        <f>_xlfn.XLOOKUP(N506,players!A:A,players!D:D,"")</f>
        <v>Ian McCaw</v>
      </c>
      <c r="P506" s="20" cm="1">
        <f t="array" ref="P506">_xlfn.XLOOKUP(I506&amp;N506,rosterSpots!B:B&amp;rosterSpots!D:D,rosterSpots!E:E,"")</f>
        <v>50</v>
      </c>
      <c r="Q506" s="20">
        <f xml:space="preserve"> (playerGameStats!$R506 * 2) + (playerGameStats!$S506 * 3) + (playerGameStats!$T506)</f>
        <v>10</v>
      </c>
      <c r="R506" s="20">
        <v>4</v>
      </c>
      <c r="S506" s="20">
        <v>0</v>
      </c>
      <c r="T506" s="20">
        <v>2</v>
      </c>
      <c r="U506" s="23">
        <v>2</v>
      </c>
    </row>
    <row r="507" spans="1:21" x14ac:dyDescent="0.25">
      <c r="A507" s="24" t="s">
        <v>515</v>
      </c>
      <c r="B507" s="24">
        <v>2026</v>
      </c>
      <c r="C507" s="24" t="s">
        <v>37</v>
      </c>
      <c r="D507" s="24">
        <v>8</v>
      </c>
      <c r="E507" s="24">
        <v>46175</v>
      </c>
      <c r="F507" s="24">
        <v>0.85416666666666663</v>
      </c>
      <c r="G507" s="24" t="s">
        <v>18</v>
      </c>
      <c r="H507" s="24" t="s">
        <v>310</v>
      </c>
      <c r="I507" s="24" t="s">
        <v>295</v>
      </c>
      <c r="J507" s="24" t="s">
        <v>11</v>
      </c>
      <c r="K507" s="24" t="s">
        <v>45</v>
      </c>
      <c r="L507" s="24" t="s">
        <v>298</v>
      </c>
      <c r="M507" s="24" t="s">
        <v>12</v>
      </c>
      <c r="N507" s="24" t="s">
        <v>46</v>
      </c>
      <c r="O507" s="24" t="s">
        <v>516</v>
      </c>
      <c r="P507" s="24">
        <v>1</v>
      </c>
      <c r="Q507" s="24">
        <f xml:space="preserve"> (playerGameStats!$R507 * 2) + (playerGameStats!$S507 * 3) + (playerGameStats!$T507)</f>
        <v>0</v>
      </c>
      <c r="R507" s="24">
        <v>0</v>
      </c>
      <c r="S507" s="24">
        <v>0</v>
      </c>
      <c r="T507" s="24">
        <v>0</v>
      </c>
      <c r="U507" s="24">
        <v>0</v>
      </c>
    </row>
    <row r="508" spans="1:21" x14ac:dyDescent="0.25">
      <c r="A508" s="24" t="s">
        <v>515</v>
      </c>
      <c r="B508" s="24">
        <v>2026</v>
      </c>
      <c r="C508" s="24" t="s">
        <v>37</v>
      </c>
      <c r="D508" s="24">
        <v>8</v>
      </c>
      <c r="E508" s="24">
        <v>46175</v>
      </c>
      <c r="F508" s="24">
        <v>0.85416666666666663</v>
      </c>
      <c r="G508" s="24" t="s">
        <v>18</v>
      </c>
      <c r="H508" s="24" t="s">
        <v>310</v>
      </c>
      <c r="I508" s="24" t="s">
        <v>295</v>
      </c>
      <c r="J508" s="24" t="s">
        <v>11</v>
      </c>
      <c r="K508" s="24" t="s">
        <v>45</v>
      </c>
      <c r="L508" s="24" t="s">
        <v>298</v>
      </c>
      <c r="M508" s="24" t="s">
        <v>12</v>
      </c>
      <c r="N508" s="24" t="s">
        <v>46</v>
      </c>
      <c r="O508" s="24" t="s">
        <v>517</v>
      </c>
      <c r="P508" s="24">
        <v>2</v>
      </c>
      <c r="Q508" s="24">
        <f xml:space="preserve"> (playerGameStats!$R508 * 2) + (playerGameStats!$S508 * 3) + (playerGameStats!$T508)</f>
        <v>9</v>
      </c>
      <c r="R508" s="24">
        <v>2</v>
      </c>
      <c r="S508" s="24">
        <v>1</v>
      </c>
      <c r="T508" s="24">
        <v>2</v>
      </c>
      <c r="U508" s="24">
        <v>2</v>
      </c>
    </row>
    <row r="509" spans="1:21" x14ac:dyDescent="0.25">
      <c r="A509" s="24" t="s">
        <v>515</v>
      </c>
      <c r="B509" s="24">
        <v>2026</v>
      </c>
      <c r="C509" s="24" t="s">
        <v>37</v>
      </c>
      <c r="D509" s="24">
        <v>8</v>
      </c>
      <c r="E509" s="24">
        <v>46175</v>
      </c>
      <c r="F509" s="24">
        <v>0.85416666666666663</v>
      </c>
      <c r="G509" s="24" t="s">
        <v>18</v>
      </c>
      <c r="H509" s="24" t="s">
        <v>310</v>
      </c>
      <c r="I509" s="24" t="s">
        <v>295</v>
      </c>
      <c r="J509" s="24" t="s">
        <v>11</v>
      </c>
      <c r="K509" s="24" t="s">
        <v>45</v>
      </c>
      <c r="L509" s="24" t="s">
        <v>298</v>
      </c>
      <c r="M509" s="24" t="s">
        <v>12</v>
      </c>
      <c r="N509" s="24" t="s">
        <v>46</v>
      </c>
      <c r="O509" s="24" t="s">
        <v>462</v>
      </c>
      <c r="P509" s="24">
        <v>3</v>
      </c>
      <c r="Q509" s="24">
        <f xml:space="preserve"> (playerGameStats!$R509 * 2) + (playerGameStats!$S509 * 3) + (playerGameStats!$T509)</f>
        <v>8</v>
      </c>
      <c r="R509" s="24">
        <v>0</v>
      </c>
      <c r="S509" s="24">
        <v>2</v>
      </c>
      <c r="T509" s="24">
        <v>2</v>
      </c>
      <c r="U509" s="24">
        <v>2</v>
      </c>
    </row>
    <row r="510" spans="1:21" x14ac:dyDescent="0.25">
      <c r="A510" s="24" t="s">
        <v>515</v>
      </c>
      <c r="B510" s="24">
        <v>2026</v>
      </c>
      <c r="C510" s="24" t="s">
        <v>37</v>
      </c>
      <c r="D510" s="24">
        <v>8</v>
      </c>
      <c r="E510" s="24">
        <v>46175</v>
      </c>
      <c r="F510" s="24">
        <v>0.85416666666666663</v>
      </c>
      <c r="G510" s="24" t="s">
        <v>18</v>
      </c>
      <c r="H510" s="24" t="s">
        <v>310</v>
      </c>
      <c r="I510" s="24" t="s">
        <v>295</v>
      </c>
      <c r="J510" s="24" t="s">
        <v>11</v>
      </c>
      <c r="K510" s="24" t="s">
        <v>45</v>
      </c>
      <c r="L510" s="24" t="s">
        <v>298</v>
      </c>
      <c r="M510" s="24" t="s">
        <v>12</v>
      </c>
      <c r="N510" s="24" t="s">
        <v>46</v>
      </c>
      <c r="O510" s="24" t="s">
        <v>518</v>
      </c>
      <c r="P510" s="24">
        <v>7</v>
      </c>
      <c r="Q510" s="24">
        <f xml:space="preserve"> (playerGameStats!$R510 * 2) + (playerGameStats!$S510 * 3) + (playerGameStats!$T510)</f>
        <v>3</v>
      </c>
      <c r="R510" s="24">
        <v>0</v>
      </c>
      <c r="S510" s="24">
        <v>1</v>
      </c>
      <c r="T510" s="24">
        <v>0</v>
      </c>
      <c r="U510" s="24">
        <v>0</v>
      </c>
    </row>
    <row r="511" spans="1:21" x14ac:dyDescent="0.25">
      <c r="A511" s="24" t="s">
        <v>515</v>
      </c>
      <c r="B511" s="24">
        <v>2026</v>
      </c>
      <c r="C511" s="24" t="s">
        <v>37</v>
      </c>
      <c r="D511" s="24">
        <v>8</v>
      </c>
      <c r="E511" s="24">
        <v>46175</v>
      </c>
      <c r="F511" s="24">
        <v>0.85416666666666663</v>
      </c>
      <c r="G511" s="24" t="s">
        <v>18</v>
      </c>
      <c r="H511" s="24" t="s">
        <v>310</v>
      </c>
      <c r="I511" s="24" t="s">
        <v>295</v>
      </c>
      <c r="J511" s="24" t="s">
        <v>11</v>
      </c>
      <c r="K511" s="24" t="s">
        <v>45</v>
      </c>
      <c r="L511" s="24" t="s">
        <v>298</v>
      </c>
      <c r="M511" s="24" t="s">
        <v>12</v>
      </c>
      <c r="N511" s="24" t="s">
        <v>46</v>
      </c>
      <c r="O511" s="24" t="s">
        <v>519</v>
      </c>
      <c r="P511" s="24">
        <v>9</v>
      </c>
      <c r="Q511" s="24">
        <f xml:space="preserve"> (playerGameStats!$R511 * 2) + (playerGameStats!$S511 * 3) + (playerGameStats!$T511)</f>
        <v>3</v>
      </c>
      <c r="R511" s="24">
        <v>1</v>
      </c>
      <c r="S511" s="24">
        <v>0</v>
      </c>
      <c r="T511" s="24">
        <v>1</v>
      </c>
      <c r="U511" s="24">
        <v>2</v>
      </c>
    </row>
    <row r="512" spans="1:21" x14ac:dyDescent="0.25">
      <c r="A512" s="24" t="s">
        <v>515</v>
      </c>
      <c r="B512" s="24">
        <v>2026</v>
      </c>
      <c r="C512" s="24" t="s">
        <v>37</v>
      </c>
      <c r="D512" s="24">
        <v>8</v>
      </c>
      <c r="E512" s="24">
        <v>46175</v>
      </c>
      <c r="F512" s="24">
        <v>0.85416666666666663</v>
      </c>
      <c r="G512" s="24" t="s">
        <v>18</v>
      </c>
      <c r="H512" s="24" t="s">
        <v>310</v>
      </c>
      <c r="I512" s="24" t="s">
        <v>295</v>
      </c>
      <c r="J512" s="24" t="s">
        <v>11</v>
      </c>
      <c r="K512" s="24" t="s">
        <v>45</v>
      </c>
      <c r="L512" s="24" t="s">
        <v>298</v>
      </c>
      <c r="M512" s="24" t="s">
        <v>12</v>
      </c>
      <c r="N512" s="24" t="s">
        <v>46</v>
      </c>
      <c r="O512" s="24" t="s">
        <v>477</v>
      </c>
      <c r="P512" s="24">
        <v>14</v>
      </c>
      <c r="Q512" s="24">
        <f xml:space="preserve"> (playerGameStats!$R512 * 2) + (playerGameStats!$S512 * 3) + (playerGameStats!$T512)</f>
        <v>10</v>
      </c>
      <c r="R512" s="24">
        <v>3</v>
      </c>
      <c r="S512" s="24">
        <v>0</v>
      </c>
      <c r="T512" s="24">
        <v>4</v>
      </c>
      <c r="U512" s="24">
        <v>7</v>
      </c>
    </row>
    <row r="513" spans="1:21" x14ac:dyDescent="0.25">
      <c r="A513" s="24" t="s">
        <v>515</v>
      </c>
      <c r="B513" s="24">
        <v>2026</v>
      </c>
      <c r="C513" s="24" t="s">
        <v>37</v>
      </c>
      <c r="D513" s="24">
        <v>8</v>
      </c>
      <c r="E513" s="24">
        <v>46175</v>
      </c>
      <c r="F513" s="24">
        <v>0.85416666666666663</v>
      </c>
      <c r="G513" s="24" t="s">
        <v>18</v>
      </c>
      <c r="H513" s="24" t="s">
        <v>310</v>
      </c>
      <c r="I513" s="24" t="s">
        <v>295</v>
      </c>
      <c r="J513" s="24" t="s">
        <v>11</v>
      </c>
      <c r="K513" s="24" t="s">
        <v>45</v>
      </c>
      <c r="L513" s="24" t="s">
        <v>298</v>
      </c>
      <c r="M513" s="24" t="s">
        <v>12</v>
      </c>
      <c r="N513" s="24" t="s">
        <v>46</v>
      </c>
      <c r="O513" s="24" t="s">
        <v>520</v>
      </c>
      <c r="P513" s="24">
        <v>43</v>
      </c>
      <c r="Q513" s="24">
        <f xml:space="preserve"> (playerGameStats!$R513 * 2) + (playerGameStats!$S513 * 3) + (playerGameStats!$T513)</f>
        <v>0</v>
      </c>
      <c r="R513" s="24">
        <v>0</v>
      </c>
      <c r="S513" s="24">
        <v>0</v>
      </c>
      <c r="T513" s="24">
        <v>0</v>
      </c>
      <c r="U513" s="24">
        <v>0</v>
      </c>
    </row>
    <row r="514" spans="1:21" x14ac:dyDescent="0.25">
      <c r="A514" s="24" t="s">
        <v>515</v>
      </c>
      <c r="B514" s="24">
        <v>2026</v>
      </c>
      <c r="C514" s="24" t="s">
        <v>37</v>
      </c>
      <c r="D514" s="24">
        <v>8</v>
      </c>
      <c r="E514" s="24">
        <v>46175</v>
      </c>
      <c r="F514" s="24">
        <v>0.85416666666666663</v>
      </c>
      <c r="G514" s="24" t="s">
        <v>18</v>
      </c>
      <c r="H514" s="24" t="s">
        <v>310</v>
      </c>
      <c r="I514" s="24" t="s">
        <v>295</v>
      </c>
      <c r="J514" s="24" t="s">
        <v>11</v>
      </c>
      <c r="K514" s="24" t="s">
        <v>45</v>
      </c>
      <c r="L514" s="24" t="s">
        <v>298</v>
      </c>
      <c r="M514" s="24" t="s">
        <v>12</v>
      </c>
      <c r="N514" s="24" t="s">
        <v>46</v>
      </c>
      <c r="O514" s="24" t="s">
        <v>451</v>
      </c>
      <c r="P514" s="24">
        <v>53</v>
      </c>
      <c r="Q514" s="24">
        <f xml:space="preserve"> (playerGameStats!$R514 * 2) + (playerGameStats!$S514 * 3) + (playerGameStats!$T514)</f>
        <v>18</v>
      </c>
      <c r="R514" s="24">
        <v>9</v>
      </c>
      <c r="S514" s="24">
        <v>0</v>
      </c>
      <c r="T514" s="24">
        <v>0</v>
      </c>
      <c r="U514" s="24">
        <v>0</v>
      </c>
    </row>
    <row r="515" spans="1:21" x14ac:dyDescent="0.25">
      <c r="A515" t="s">
        <v>515</v>
      </c>
      <c r="B515">
        <v>2026</v>
      </c>
      <c r="C515" t="s">
        <v>37</v>
      </c>
      <c r="D515">
        <v>8</v>
      </c>
      <c r="E515" s="25">
        <v>46175</v>
      </c>
      <c r="F515" s="17">
        <v>0.85416666666666663</v>
      </c>
      <c r="G515" t="s">
        <v>18</v>
      </c>
      <c r="H515" t="s">
        <v>310</v>
      </c>
      <c r="I515" s="15" t="s">
        <v>298</v>
      </c>
      <c r="J515" s="15" t="s">
        <v>12</v>
      </c>
      <c r="K515" s="15" t="s">
        <v>46</v>
      </c>
      <c r="L515" s="15" t="s">
        <v>295</v>
      </c>
      <c r="M515" s="15" t="s">
        <v>11</v>
      </c>
      <c r="N515" s="15" t="s">
        <v>45</v>
      </c>
      <c r="O515" s="15" t="s">
        <v>521</v>
      </c>
      <c r="P515" s="15">
        <v>2</v>
      </c>
      <c r="Q515" s="15">
        <f xml:space="preserve"> (playerGameStats!$R515 * 2) + (playerGameStats!$S515 * 3) + (playerGameStats!$T515)</f>
        <v>3</v>
      </c>
      <c r="R515">
        <v>0</v>
      </c>
      <c r="S515">
        <v>1</v>
      </c>
      <c r="T515">
        <v>0</v>
      </c>
      <c r="U515" s="26">
        <v>0</v>
      </c>
    </row>
    <row r="516" spans="1:21" x14ac:dyDescent="0.25">
      <c r="A516" t="s">
        <v>515</v>
      </c>
      <c r="B516">
        <v>2026</v>
      </c>
      <c r="C516" t="s">
        <v>37</v>
      </c>
      <c r="D516">
        <v>8</v>
      </c>
      <c r="E516" s="25">
        <v>46175</v>
      </c>
      <c r="F516" s="17">
        <v>0.85416666666666663</v>
      </c>
      <c r="G516" t="s">
        <v>18</v>
      </c>
      <c r="H516" t="s">
        <v>310</v>
      </c>
      <c r="I516" s="15" t="s">
        <v>298</v>
      </c>
      <c r="J516" s="15" t="s">
        <v>12</v>
      </c>
      <c r="K516" s="15" t="s">
        <v>46</v>
      </c>
      <c r="L516" s="15" t="s">
        <v>295</v>
      </c>
      <c r="M516" s="15" t="s">
        <v>11</v>
      </c>
      <c r="N516" s="15" t="s">
        <v>45</v>
      </c>
      <c r="O516" s="15" t="s">
        <v>439</v>
      </c>
      <c r="P516" s="15">
        <v>3</v>
      </c>
      <c r="Q516" s="15">
        <f xml:space="preserve"> (playerGameStats!$R516 * 2) + (playerGameStats!$S516 * 3) + (playerGameStats!$T516)</f>
        <v>23</v>
      </c>
      <c r="R516">
        <v>4</v>
      </c>
      <c r="S516">
        <v>4</v>
      </c>
      <c r="T516">
        <v>3</v>
      </c>
      <c r="U516" s="26">
        <v>5</v>
      </c>
    </row>
    <row r="517" spans="1:21" x14ac:dyDescent="0.25">
      <c r="A517" t="s">
        <v>515</v>
      </c>
      <c r="B517">
        <v>2026</v>
      </c>
      <c r="C517" t="s">
        <v>37</v>
      </c>
      <c r="D517">
        <v>8</v>
      </c>
      <c r="E517" s="25">
        <v>46175</v>
      </c>
      <c r="F517" s="17">
        <v>0.85416666666666663</v>
      </c>
      <c r="G517" t="s">
        <v>18</v>
      </c>
      <c r="H517" t="s">
        <v>310</v>
      </c>
      <c r="I517" s="15" t="s">
        <v>298</v>
      </c>
      <c r="J517" s="15" t="s">
        <v>12</v>
      </c>
      <c r="K517" s="15" t="s">
        <v>46</v>
      </c>
      <c r="L517" s="15" t="s">
        <v>295</v>
      </c>
      <c r="M517" s="15" t="s">
        <v>11</v>
      </c>
      <c r="N517" s="15" t="s">
        <v>45</v>
      </c>
      <c r="O517" s="15" t="s">
        <v>522</v>
      </c>
      <c r="P517" s="15">
        <v>5</v>
      </c>
      <c r="Q517" s="15">
        <f xml:space="preserve"> (playerGameStats!$R517 * 2) + (playerGameStats!$S517 * 3) + (playerGameStats!$T517)</f>
        <v>6</v>
      </c>
      <c r="R517">
        <v>0</v>
      </c>
      <c r="S517">
        <v>2</v>
      </c>
      <c r="T517">
        <v>0</v>
      </c>
      <c r="U517" s="26">
        <v>0</v>
      </c>
    </row>
    <row r="518" spans="1:21" x14ac:dyDescent="0.25">
      <c r="A518" t="s">
        <v>515</v>
      </c>
      <c r="B518">
        <v>2026</v>
      </c>
      <c r="C518" t="s">
        <v>37</v>
      </c>
      <c r="D518">
        <v>8</v>
      </c>
      <c r="E518" s="25">
        <v>46175</v>
      </c>
      <c r="F518" s="17">
        <v>0.85416666666666663</v>
      </c>
      <c r="G518" t="s">
        <v>18</v>
      </c>
      <c r="H518" t="s">
        <v>310</v>
      </c>
      <c r="I518" s="15" t="s">
        <v>298</v>
      </c>
      <c r="J518" s="15" t="s">
        <v>12</v>
      </c>
      <c r="K518" s="15" t="s">
        <v>46</v>
      </c>
      <c r="L518" s="15" t="s">
        <v>295</v>
      </c>
      <c r="M518" s="15" t="s">
        <v>11</v>
      </c>
      <c r="N518" s="15" t="s">
        <v>45</v>
      </c>
      <c r="O518" t="s">
        <v>512</v>
      </c>
      <c r="P518">
        <v>8</v>
      </c>
      <c r="Q518" s="15">
        <f xml:space="preserve"> (playerGameStats!$R518 * 2) + (playerGameStats!$S518 * 3) + (playerGameStats!$T518)</f>
        <v>12</v>
      </c>
      <c r="R518">
        <v>3</v>
      </c>
      <c r="S518">
        <v>2</v>
      </c>
      <c r="T518">
        <v>0</v>
      </c>
      <c r="U518" s="26">
        <v>4</v>
      </c>
    </row>
    <row r="519" spans="1:21" x14ac:dyDescent="0.25">
      <c r="A519" t="s">
        <v>515</v>
      </c>
      <c r="B519">
        <v>2026</v>
      </c>
      <c r="C519" t="s">
        <v>37</v>
      </c>
      <c r="D519">
        <v>8</v>
      </c>
      <c r="E519" s="25">
        <v>46175</v>
      </c>
      <c r="F519" s="17">
        <v>0.85416666666666663</v>
      </c>
      <c r="G519" t="s">
        <v>18</v>
      </c>
      <c r="H519" t="s">
        <v>310</v>
      </c>
      <c r="I519" s="15" t="s">
        <v>298</v>
      </c>
      <c r="J519" s="15" t="s">
        <v>12</v>
      </c>
      <c r="K519" s="15" t="s">
        <v>46</v>
      </c>
      <c r="L519" s="15" t="s">
        <v>295</v>
      </c>
      <c r="M519" s="15" t="s">
        <v>11</v>
      </c>
      <c r="N519" s="15" t="s">
        <v>45</v>
      </c>
      <c r="O519" t="s">
        <v>523</v>
      </c>
      <c r="P519">
        <v>14</v>
      </c>
      <c r="Q519" s="15">
        <f xml:space="preserve"> (playerGameStats!$R519 * 2) + (playerGameStats!$S519 * 3) + (playerGameStats!$T519)</f>
        <v>6</v>
      </c>
      <c r="R519">
        <v>0</v>
      </c>
      <c r="S519">
        <v>2</v>
      </c>
      <c r="T519">
        <v>0</v>
      </c>
      <c r="U519" s="26">
        <v>0</v>
      </c>
    </row>
    <row r="520" spans="1:21" x14ac:dyDescent="0.25">
      <c r="A520" t="s">
        <v>515</v>
      </c>
      <c r="B520">
        <v>2026</v>
      </c>
      <c r="C520" t="s">
        <v>37</v>
      </c>
      <c r="D520">
        <v>8</v>
      </c>
      <c r="E520" s="25">
        <v>46175</v>
      </c>
      <c r="F520" s="17">
        <v>0.85416666666666663</v>
      </c>
      <c r="G520" t="s">
        <v>18</v>
      </c>
      <c r="H520" t="s">
        <v>310</v>
      </c>
      <c r="I520" s="15" t="s">
        <v>298</v>
      </c>
      <c r="J520" s="15" t="s">
        <v>12</v>
      </c>
      <c r="K520" s="15" t="s">
        <v>46</v>
      </c>
      <c r="L520" s="15" t="s">
        <v>295</v>
      </c>
      <c r="M520" s="15" t="s">
        <v>11</v>
      </c>
      <c r="N520" s="15" t="s">
        <v>45</v>
      </c>
      <c r="O520" t="s">
        <v>524</v>
      </c>
      <c r="P520">
        <v>21</v>
      </c>
      <c r="Q520" s="15">
        <f xml:space="preserve"> (playerGameStats!$R520 * 2) + (playerGameStats!$S520 * 3) + (playerGameStats!$T520)</f>
        <v>0</v>
      </c>
      <c r="R520">
        <v>0</v>
      </c>
      <c r="S520">
        <v>0</v>
      </c>
      <c r="T520">
        <v>0</v>
      </c>
      <c r="U520" s="26">
        <v>0</v>
      </c>
    </row>
    <row r="521" spans="1:21" x14ac:dyDescent="0.25">
      <c r="A521" t="s">
        <v>515</v>
      </c>
      <c r="B521">
        <v>2026</v>
      </c>
      <c r="C521" t="s">
        <v>37</v>
      </c>
      <c r="D521">
        <v>8</v>
      </c>
      <c r="E521" s="25">
        <v>46175</v>
      </c>
      <c r="F521" s="17">
        <v>0.85416666666666663</v>
      </c>
      <c r="G521" t="s">
        <v>18</v>
      </c>
      <c r="H521" t="s">
        <v>310</v>
      </c>
      <c r="I521" s="15" t="s">
        <v>298</v>
      </c>
      <c r="J521" s="15" t="s">
        <v>12</v>
      </c>
      <c r="K521" s="15" t="s">
        <v>46</v>
      </c>
      <c r="L521" s="15" t="s">
        <v>295</v>
      </c>
      <c r="M521" s="15" t="s">
        <v>11</v>
      </c>
      <c r="N521" s="15" t="s">
        <v>45</v>
      </c>
      <c r="O521" t="s">
        <v>525</v>
      </c>
      <c r="P521">
        <v>30</v>
      </c>
      <c r="Q521" s="15">
        <f xml:space="preserve"> (playerGameStats!$R521 * 2) + (playerGameStats!$S521 * 3) + (playerGameStats!$T521)</f>
        <v>2</v>
      </c>
      <c r="R521">
        <v>1</v>
      </c>
      <c r="S521">
        <v>0</v>
      </c>
      <c r="T521">
        <v>0</v>
      </c>
      <c r="U521" s="26">
        <v>0</v>
      </c>
    </row>
    <row r="522" spans="1:21" x14ac:dyDescent="0.25">
      <c r="A522" s="24" t="s">
        <v>528</v>
      </c>
      <c r="B522" s="24">
        <v>2026</v>
      </c>
      <c r="C522" s="24" t="s">
        <v>37</v>
      </c>
      <c r="D522" s="24">
        <v>8</v>
      </c>
      <c r="E522" s="33">
        <v>46176</v>
      </c>
      <c r="F522" s="24">
        <v>0.77083333333333337</v>
      </c>
      <c r="G522" s="24" t="s">
        <v>18</v>
      </c>
      <c r="H522" s="24" t="s">
        <v>310</v>
      </c>
      <c r="I522" s="24" t="s">
        <v>296</v>
      </c>
      <c r="J522" s="24" t="s">
        <v>15</v>
      </c>
      <c r="K522" s="24" t="s">
        <v>48</v>
      </c>
      <c r="L522" s="24" t="s">
        <v>16</v>
      </c>
      <c r="M522" s="24" t="s">
        <v>44</v>
      </c>
      <c r="N522" s="24" t="s">
        <v>238</v>
      </c>
      <c r="O522" s="24" t="s">
        <v>529</v>
      </c>
      <c r="P522" s="24">
        <v>0</v>
      </c>
      <c r="Q522" s="24">
        <f xml:space="preserve"> (playerGameStats!$R522 * 2) + (playerGameStats!$S522 * 3) + (playerGameStats!$T522)</f>
        <v>8</v>
      </c>
      <c r="R522" s="24">
        <v>1</v>
      </c>
      <c r="S522" s="24">
        <v>2</v>
      </c>
      <c r="T522" s="24">
        <v>0</v>
      </c>
      <c r="U522" s="24">
        <v>0</v>
      </c>
    </row>
    <row r="523" spans="1:21" x14ac:dyDescent="0.25">
      <c r="A523" s="24" t="s">
        <v>528</v>
      </c>
      <c r="B523" s="24">
        <v>2026</v>
      </c>
      <c r="C523" s="24" t="s">
        <v>37</v>
      </c>
      <c r="D523" s="24">
        <v>8</v>
      </c>
      <c r="E523" s="33">
        <v>46176</v>
      </c>
      <c r="F523" s="24">
        <v>0.77083333333333337</v>
      </c>
      <c r="G523" s="24" t="s">
        <v>18</v>
      </c>
      <c r="H523" s="24" t="s">
        <v>310</v>
      </c>
      <c r="I523" s="24" t="s">
        <v>296</v>
      </c>
      <c r="J523" s="24" t="s">
        <v>15</v>
      </c>
      <c r="K523" s="24" t="s">
        <v>48</v>
      </c>
      <c r="L523" s="24" t="s">
        <v>16</v>
      </c>
      <c r="M523" s="24" t="s">
        <v>44</v>
      </c>
      <c r="N523" s="24" t="s">
        <v>240</v>
      </c>
      <c r="O523" s="24" t="s">
        <v>535</v>
      </c>
      <c r="P523" s="24">
        <v>1</v>
      </c>
      <c r="Q523" s="24">
        <f xml:space="preserve"> (playerGameStats!$R523 * 2) + (playerGameStats!$S523 * 3) + (playerGameStats!$T523)</f>
        <v>12</v>
      </c>
      <c r="R523" s="24">
        <v>3</v>
      </c>
      <c r="S523" s="24">
        <v>2</v>
      </c>
      <c r="T523" s="24">
        <v>0</v>
      </c>
      <c r="U523" s="24">
        <v>0</v>
      </c>
    </row>
    <row r="524" spans="1:21" x14ac:dyDescent="0.25">
      <c r="A524" s="24" t="s">
        <v>528</v>
      </c>
      <c r="B524" s="24">
        <v>2026</v>
      </c>
      <c r="C524" s="24" t="s">
        <v>37</v>
      </c>
      <c r="D524" s="24">
        <v>8</v>
      </c>
      <c r="E524" s="33">
        <v>46176</v>
      </c>
      <c r="F524" s="24">
        <v>0.77083333333333337</v>
      </c>
      <c r="G524" s="24" t="s">
        <v>18</v>
      </c>
      <c r="H524" s="24" t="s">
        <v>310</v>
      </c>
      <c r="I524" s="24" t="s">
        <v>296</v>
      </c>
      <c r="J524" s="24" t="s">
        <v>15</v>
      </c>
      <c r="K524" s="24" t="s">
        <v>48</v>
      </c>
      <c r="L524" s="24" t="s">
        <v>16</v>
      </c>
      <c r="M524" s="24" t="s">
        <v>44</v>
      </c>
      <c r="N524" s="24" t="s">
        <v>235</v>
      </c>
      <c r="O524" s="24" t="s">
        <v>530</v>
      </c>
      <c r="P524" s="24">
        <v>7</v>
      </c>
      <c r="Q524" s="24">
        <f xml:space="preserve"> (playerGameStats!$R524 * 2) + (playerGameStats!$S524 * 3) + (playerGameStats!$T524)</f>
        <v>4</v>
      </c>
      <c r="R524" s="24">
        <v>2</v>
      </c>
      <c r="S524" s="24">
        <v>0</v>
      </c>
      <c r="T524" s="24">
        <v>0</v>
      </c>
      <c r="U524" s="24">
        <v>0</v>
      </c>
    </row>
    <row r="525" spans="1:21" x14ac:dyDescent="0.25">
      <c r="A525" s="24" t="s">
        <v>528</v>
      </c>
      <c r="B525" s="24">
        <v>2026</v>
      </c>
      <c r="C525" s="24" t="s">
        <v>37</v>
      </c>
      <c r="D525" s="24">
        <v>8</v>
      </c>
      <c r="E525" s="33">
        <v>46176</v>
      </c>
      <c r="F525" s="24">
        <v>0.77083333333333337</v>
      </c>
      <c r="G525" s="24" t="s">
        <v>18</v>
      </c>
      <c r="H525" s="24" t="s">
        <v>310</v>
      </c>
      <c r="I525" s="24" t="s">
        <v>296</v>
      </c>
      <c r="J525" s="24" t="s">
        <v>15</v>
      </c>
      <c r="K525" s="24" t="s">
        <v>48</v>
      </c>
      <c r="L525" s="24" t="s">
        <v>16</v>
      </c>
      <c r="M525" s="24" t="s">
        <v>44</v>
      </c>
      <c r="N525" s="24" t="s">
        <v>243</v>
      </c>
      <c r="O525" s="24" t="s">
        <v>531</v>
      </c>
      <c r="P525" s="24">
        <v>11</v>
      </c>
      <c r="Q525" s="24">
        <f xml:space="preserve"> (playerGameStats!$R525 * 2) + (playerGameStats!$S525 * 3) + (playerGameStats!$T525)</f>
        <v>4</v>
      </c>
      <c r="R525" s="24">
        <v>2</v>
      </c>
      <c r="S525" s="24">
        <v>0</v>
      </c>
      <c r="T525" s="24">
        <v>0</v>
      </c>
      <c r="U525" s="24">
        <v>0</v>
      </c>
    </row>
    <row r="526" spans="1:21" x14ac:dyDescent="0.25">
      <c r="A526" s="24" t="s">
        <v>528</v>
      </c>
      <c r="B526" s="24">
        <v>2026</v>
      </c>
      <c r="C526" s="24" t="s">
        <v>37</v>
      </c>
      <c r="D526" s="24">
        <v>8</v>
      </c>
      <c r="E526" s="33">
        <v>46176</v>
      </c>
      <c r="F526" s="24">
        <v>0.77083333333333337</v>
      </c>
      <c r="G526" s="24" t="s">
        <v>18</v>
      </c>
      <c r="H526" s="24" t="s">
        <v>310</v>
      </c>
      <c r="I526" s="24" t="s">
        <v>296</v>
      </c>
      <c r="J526" s="24" t="s">
        <v>15</v>
      </c>
      <c r="K526" s="24" t="s">
        <v>48</v>
      </c>
      <c r="L526" s="24" t="s">
        <v>16</v>
      </c>
      <c r="M526" s="24" t="s">
        <v>44</v>
      </c>
      <c r="N526" s="24" t="s">
        <v>237</v>
      </c>
      <c r="O526" s="24" t="s">
        <v>532</v>
      </c>
      <c r="P526" s="24">
        <v>13</v>
      </c>
      <c r="Q526" s="24">
        <f xml:space="preserve"> (playerGameStats!$R526 * 2) + (playerGameStats!$S526 * 3) + (playerGameStats!$T526)</f>
        <v>17</v>
      </c>
      <c r="R526" s="24">
        <v>3</v>
      </c>
      <c r="S526" s="24">
        <v>3</v>
      </c>
      <c r="T526" s="24">
        <v>2</v>
      </c>
      <c r="U526" s="24">
        <v>2</v>
      </c>
    </row>
    <row r="527" spans="1:21" x14ac:dyDescent="0.25">
      <c r="A527" s="24" t="s">
        <v>528</v>
      </c>
      <c r="B527" s="24">
        <v>2026</v>
      </c>
      <c r="C527" s="24" t="s">
        <v>37</v>
      </c>
      <c r="D527" s="24">
        <v>8</v>
      </c>
      <c r="E527" s="33">
        <v>46176</v>
      </c>
      <c r="F527" s="24">
        <v>0.77083333333333337</v>
      </c>
      <c r="G527" s="24" t="s">
        <v>18</v>
      </c>
      <c r="H527" s="24" t="s">
        <v>310</v>
      </c>
      <c r="I527" s="24" t="s">
        <v>296</v>
      </c>
      <c r="J527" s="24" t="s">
        <v>15</v>
      </c>
      <c r="K527" s="24" t="s">
        <v>48</v>
      </c>
      <c r="L527" s="24" t="s">
        <v>16</v>
      </c>
      <c r="M527" s="24" t="s">
        <v>44</v>
      </c>
      <c r="N527" s="24" t="s">
        <v>236</v>
      </c>
      <c r="O527" s="24" t="s">
        <v>533</v>
      </c>
      <c r="P527" s="24">
        <v>14</v>
      </c>
      <c r="Q527" s="24">
        <f xml:space="preserve"> (playerGameStats!$R527 * 2) + (playerGameStats!$S527 * 3) + (playerGameStats!$T527)</f>
        <v>3</v>
      </c>
      <c r="R527" s="24">
        <v>0</v>
      </c>
      <c r="S527" s="24">
        <v>1</v>
      </c>
      <c r="T527" s="24">
        <v>0</v>
      </c>
      <c r="U527" s="24">
        <v>0</v>
      </c>
    </row>
    <row r="528" spans="1:21" x14ac:dyDescent="0.25">
      <c r="A528" s="24" t="s">
        <v>528</v>
      </c>
      <c r="B528" s="24">
        <v>2026</v>
      </c>
      <c r="C528" s="24" t="s">
        <v>37</v>
      </c>
      <c r="D528" s="24">
        <v>8</v>
      </c>
      <c r="E528" s="33">
        <v>46176</v>
      </c>
      <c r="F528" s="24">
        <v>0.77083333333333337</v>
      </c>
      <c r="G528" s="24" t="s">
        <v>18</v>
      </c>
      <c r="H528" s="24" t="s">
        <v>310</v>
      </c>
      <c r="I528" s="24" t="s">
        <v>296</v>
      </c>
      <c r="J528" s="24" t="s">
        <v>15</v>
      </c>
      <c r="K528" s="24" t="s">
        <v>48</v>
      </c>
      <c r="L528" s="24" t="s">
        <v>16</v>
      </c>
      <c r="M528" s="24" t="s">
        <v>44</v>
      </c>
      <c r="N528" s="24" t="s">
        <v>241</v>
      </c>
      <c r="O528" s="24" t="s">
        <v>534</v>
      </c>
      <c r="P528" s="24">
        <v>17</v>
      </c>
      <c r="Q528" s="24">
        <f xml:space="preserve"> (playerGameStats!$R528 * 2) + (playerGameStats!$S528 * 3) + (playerGameStats!$T528)</f>
        <v>0</v>
      </c>
      <c r="R528" s="24">
        <v>0</v>
      </c>
      <c r="S528" s="24">
        <v>0</v>
      </c>
      <c r="T528" s="24">
        <v>0</v>
      </c>
      <c r="U528" s="24">
        <v>0</v>
      </c>
    </row>
    <row r="529" spans="1:21" x14ac:dyDescent="0.25">
      <c r="A529" s="24" t="s">
        <v>528</v>
      </c>
      <c r="B529" s="24">
        <v>2026</v>
      </c>
      <c r="C529" s="24" t="s">
        <v>37</v>
      </c>
      <c r="D529" s="24">
        <v>8</v>
      </c>
      <c r="E529" s="33">
        <v>46176</v>
      </c>
      <c r="F529" s="24">
        <v>0.77083333333333337</v>
      </c>
      <c r="G529" s="24" t="s">
        <v>18</v>
      </c>
      <c r="H529" s="24" t="s">
        <v>310</v>
      </c>
      <c r="I529" s="24" t="s">
        <v>296</v>
      </c>
      <c r="J529" s="24" t="s">
        <v>15</v>
      </c>
      <c r="K529" s="24" t="s">
        <v>48</v>
      </c>
      <c r="L529" s="24" t="s">
        <v>16</v>
      </c>
      <c r="M529" s="24" t="s">
        <v>44</v>
      </c>
      <c r="N529" s="24" t="s">
        <v>242</v>
      </c>
      <c r="O529" s="24" t="s">
        <v>470</v>
      </c>
      <c r="P529" s="24">
        <v>24</v>
      </c>
      <c r="Q529" s="24">
        <f xml:space="preserve"> (playerGameStats!$R529 * 2) + (playerGameStats!$S529 * 3) + (playerGameStats!$T529)</f>
        <v>11</v>
      </c>
      <c r="R529" s="24">
        <v>4</v>
      </c>
      <c r="S529" s="24">
        <v>0</v>
      </c>
      <c r="T529" s="24">
        <v>3</v>
      </c>
      <c r="U529" s="24">
        <v>3</v>
      </c>
    </row>
    <row r="530" spans="1:21" x14ac:dyDescent="0.25">
      <c r="A530" s="24" t="s">
        <v>528</v>
      </c>
      <c r="B530" s="24">
        <v>2026</v>
      </c>
      <c r="C530" s="24" t="s">
        <v>37</v>
      </c>
      <c r="D530" s="24">
        <v>8</v>
      </c>
      <c r="E530" s="33">
        <v>46176</v>
      </c>
      <c r="F530" s="24">
        <v>0.77083333333333337</v>
      </c>
      <c r="G530" s="24" t="s">
        <v>18</v>
      </c>
      <c r="H530" s="24" t="s">
        <v>310</v>
      </c>
      <c r="I530" s="24" t="s">
        <v>296</v>
      </c>
      <c r="J530" s="24" t="s">
        <v>15</v>
      </c>
      <c r="K530" s="24" t="s">
        <v>48</v>
      </c>
      <c r="L530" s="24" t="s">
        <v>16</v>
      </c>
      <c r="M530" s="24" t="s">
        <v>44</v>
      </c>
      <c r="N530" s="24" t="s">
        <v>239</v>
      </c>
      <c r="O530" s="24" t="s">
        <v>511</v>
      </c>
      <c r="P530" s="24">
        <v>77</v>
      </c>
      <c r="Q530" s="24">
        <f xml:space="preserve"> (playerGameStats!$R530 * 2) + (playerGameStats!$S530 * 3) + (playerGameStats!$T530)</f>
        <v>8</v>
      </c>
      <c r="R530" s="24">
        <v>1</v>
      </c>
      <c r="S530" s="24">
        <v>2</v>
      </c>
      <c r="T530" s="24">
        <v>0</v>
      </c>
      <c r="U530" s="24">
        <v>0</v>
      </c>
    </row>
    <row r="531" spans="1:21" x14ac:dyDescent="0.25">
      <c r="A531" t="s">
        <v>528</v>
      </c>
      <c r="B531" s="29">
        <v>2026</v>
      </c>
      <c r="C531" s="29" t="s">
        <v>37</v>
      </c>
      <c r="D531" s="29">
        <v>8</v>
      </c>
      <c r="E531" s="30">
        <v>46176</v>
      </c>
      <c r="F531" s="31">
        <v>0.77083333333333337</v>
      </c>
      <c r="G531" s="29" t="s">
        <v>18</v>
      </c>
      <c r="H531" s="29" t="s">
        <v>310</v>
      </c>
      <c r="I531" s="27" t="s">
        <v>300</v>
      </c>
      <c r="J531" s="27" t="s">
        <v>16</v>
      </c>
      <c r="K531" s="27" t="s">
        <v>44</v>
      </c>
      <c r="L531" s="27" t="s">
        <v>15</v>
      </c>
      <c r="M531" s="27" t="s">
        <v>48</v>
      </c>
      <c r="N531" s="29" t="s">
        <v>277</v>
      </c>
      <c r="O531" s="29" t="s">
        <v>465</v>
      </c>
      <c r="P531" s="29">
        <v>2</v>
      </c>
      <c r="Q531" s="32">
        <f xml:space="preserve"> (playerGameStats!$R531 * 2) + (playerGameStats!$S531 * 3) + (playerGameStats!$T531)</f>
        <v>12</v>
      </c>
      <c r="R531" s="29">
        <v>0</v>
      </c>
      <c r="S531" s="29">
        <v>4</v>
      </c>
      <c r="T531" s="29">
        <v>0</v>
      </c>
      <c r="U531" s="28">
        <v>0</v>
      </c>
    </row>
    <row r="532" spans="1:21" x14ac:dyDescent="0.25">
      <c r="A532" t="s">
        <v>528</v>
      </c>
      <c r="B532" s="29">
        <v>2026</v>
      </c>
      <c r="C532" s="29" t="s">
        <v>37</v>
      </c>
      <c r="D532" s="29">
        <v>8</v>
      </c>
      <c r="E532" s="30">
        <v>46176</v>
      </c>
      <c r="F532" s="31">
        <v>0.77083333333333337</v>
      </c>
      <c r="G532" s="29" t="s">
        <v>18</v>
      </c>
      <c r="H532" s="29" t="s">
        <v>310</v>
      </c>
      <c r="I532" s="27" t="s">
        <v>300</v>
      </c>
      <c r="J532" s="27" t="s">
        <v>16</v>
      </c>
      <c r="K532" s="27" t="s">
        <v>44</v>
      </c>
      <c r="L532" s="27" t="s">
        <v>15</v>
      </c>
      <c r="M532" s="27" t="s">
        <v>48</v>
      </c>
      <c r="N532" s="29" t="s">
        <v>281</v>
      </c>
      <c r="O532" s="29" t="s">
        <v>536</v>
      </c>
      <c r="P532" s="29">
        <v>5</v>
      </c>
      <c r="Q532" s="32">
        <f xml:space="preserve"> (playerGameStats!$R532 * 2) + (playerGameStats!$S532 * 3) + (playerGameStats!$T532)</f>
        <v>2</v>
      </c>
      <c r="R532" s="29">
        <v>1</v>
      </c>
      <c r="S532" s="29">
        <v>0</v>
      </c>
      <c r="T532" s="29">
        <v>0</v>
      </c>
      <c r="U532" s="28">
        <v>0</v>
      </c>
    </row>
    <row r="533" spans="1:21" x14ac:dyDescent="0.25">
      <c r="A533" t="s">
        <v>528</v>
      </c>
      <c r="B533" s="29">
        <v>2026</v>
      </c>
      <c r="C533" s="29" t="s">
        <v>37</v>
      </c>
      <c r="D533" s="29">
        <v>8</v>
      </c>
      <c r="E533" s="30">
        <v>46176</v>
      </c>
      <c r="F533" s="31">
        <v>0.77083333333333337</v>
      </c>
      <c r="G533" s="29" t="s">
        <v>18</v>
      </c>
      <c r="H533" s="29" t="s">
        <v>310</v>
      </c>
      <c r="I533" s="27" t="s">
        <v>300</v>
      </c>
      <c r="J533" s="27" t="s">
        <v>16</v>
      </c>
      <c r="K533" s="27" t="s">
        <v>44</v>
      </c>
      <c r="L533" s="27" t="s">
        <v>15</v>
      </c>
      <c r="M533" s="27" t="s">
        <v>48</v>
      </c>
      <c r="N533" s="29" t="s">
        <v>276</v>
      </c>
      <c r="O533" s="29" t="s">
        <v>537</v>
      </c>
      <c r="P533" s="29">
        <v>7</v>
      </c>
      <c r="Q533" s="32">
        <f xml:space="preserve"> (playerGameStats!$R533 * 2) + (playerGameStats!$S533 * 3) + (playerGameStats!$T533)</f>
        <v>4</v>
      </c>
      <c r="R533" s="29">
        <v>2</v>
      </c>
      <c r="S533" s="29">
        <v>0</v>
      </c>
      <c r="T533" s="29">
        <v>0</v>
      </c>
      <c r="U533" s="28">
        <v>0</v>
      </c>
    </row>
    <row r="534" spans="1:21" x14ac:dyDescent="0.25">
      <c r="A534" t="s">
        <v>528</v>
      </c>
      <c r="B534" s="29">
        <v>2026</v>
      </c>
      <c r="C534" s="29" t="s">
        <v>37</v>
      </c>
      <c r="D534" s="29">
        <v>8</v>
      </c>
      <c r="E534" s="30">
        <v>46176</v>
      </c>
      <c r="F534" s="31">
        <v>0.77083333333333337</v>
      </c>
      <c r="G534" s="29" t="s">
        <v>18</v>
      </c>
      <c r="H534" s="29" t="s">
        <v>310</v>
      </c>
      <c r="I534" s="27" t="s">
        <v>300</v>
      </c>
      <c r="J534" s="27" t="s">
        <v>16</v>
      </c>
      <c r="K534" s="27" t="s">
        <v>44</v>
      </c>
      <c r="L534" s="27" t="s">
        <v>15</v>
      </c>
      <c r="M534" s="27" t="s">
        <v>48</v>
      </c>
      <c r="N534" s="29" t="s">
        <v>275</v>
      </c>
      <c r="O534" s="29" t="s">
        <v>538</v>
      </c>
      <c r="P534" s="29">
        <v>8</v>
      </c>
      <c r="Q534" s="32">
        <f xml:space="preserve"> (playerGameStats!$R534 * 2) + (playerGameStats!$S534 * 3) + (playerGameStats!$T534)</f>
        <v>0</v>
      </c>
      <c r="R534" s="29">
        <v>0</v>
      </c>
      <c r="S534" s="29">
        <v>0</v>
      </c>
      <c r="T534" s="29">
        <v>0</v>
      </c>
      <c r="U534" s="28">
        <v>0</v>
      </c>
    </row>
    <row r="535" spans="1:21" x14ac:dyDescent="0.25">
      <c r="A535" t="s">
        <v>528</v>
      </c>
      <c r="B535" s="29">
        <v>2026</v>
      </c>
      <c r="C535" s="29" t="s">
        <v>37</v>
      </c>
      <c r="D535" s="29">
        <v>8</v>
      </c>
      <c r="E535" s="30">
        <v>46176</v>
      </c>
      <c r="F535" s="31">
        <v>0.77083333333333337</v>
      </c>
      <c r="G535" s="29" t="s">
        <v>18</v>
      </c>
      <c r="H535" s="29" t="s">
        <v>310</v>
      </c>
      <c r="I535" s="27" t="s">
        <v>300</v>
      </c>
      <c r="J535" s="27" t="s">
        <v>16</v>
      </c>
      <c r="K535" s="27" t="s">
        <v>44</v>
      </c>
      <c r="L535" s="27" t="s">
        <v>15</v>
      </c>
      <c r="M535" s="27" t="s">
        <v>48</v>
      </c>
      <c r="N535" s="29" t="s">
        <v>278</v>
      </c>
      <c r="O535" s="29" t="s">
        <v>539</v>
      </c>
      <c r="P535" s="29">
        <v>10</v>
      </c>
      <c r="Q535" s="32">
        <f xml:space="preserve"> (playerGameStats!$R535 * 2) + (playerGameStats!$S535 * 3) + (playerGameStats!$T535)</f>
        <v>12</v>
      </c>
      <c r="R535" s="29">
        <v>5</v>
      </c>
      <c r="S535" s="29">
        <v>0</v>
      </c>
      <c r="T535" s="29">
        <v>2</v>
      </c>
      <c r="U535" s="28">
        <v>2</v>
      </c>
    </row>
    <row r="536" spans="1:21" x14ac:dyDescent="0.25">
      <c r="A536" t="s">
        <v>528</v>
      </c>
      <c r="B536" s="29">
        <v>2026</v>
      </c>
      <c r="C536" s="29" t="s">
        <v>37</v>
      </c>
      <c r="D536" s="29">
        <v>8</v>
      </c>
      <c r="E536" s="30">
        <v>46176</v>
      </c>
      <c r="F536" s="31">
        <v>0.77083333333333337</v>
      </c>
      <c r="G536" s="29" t="s">
        <v>18</v>
      </c>
      <c r="H536" s="29" t="s">
        <v>310</v>
      </c>
      <c r="I536" s="27" t="s">
        <v>300</v>
      </c>
      <c r="J536" s="27" t="s">
        <v>16</v>
      </c>
      <c r="K536" s="27" t="s">
        <v>44</v>
      </c>
      <c r="L536" s="27" t="s">
        <v>15</v>
      </c>
      <c r="M536" s="27" t="s">
        <v>48</v>
      </c>
      <c r="N536" s="29" t="s">
        <v>273</v>
      </c>
      <c r="O536" s="29" t="s">
        <v>540</v>
      </c>
      <c r="P536" s="29">
        <v>11</v>
      </c>
      <c r="Q536" s="32">
        <f xml:space="preserve"> (playerGameStats!$R536 * 2) + (playerGameStats!$S536 * 3) + (playerGameStats!$T536)</f>
        <v>16</v>
      </c>
      <c r="R536" s="29">
        <v>2</v>
      </c>
      <c r="S536" s="29">
        <v>4</v>
      </c>
      <c r="T536" s="29">
        <v>0</v>
      </c>
      <c r="U536" s="28">
        <v>0</v>
      </c>
    </row>
    <row r="537" spans="1:21" x14ac:dyDescent="0.25">
      <c r="A537" t="s">
        <v>528</v>
      </c>
      <c r="B537" s="29">
        <v>2026</v>
      </c>
      <c r="C537" s="29" t="s">
        <v>37</v>
      </c>
      <c r="D537" s="29">
        <v>8</v>
      </c>
      <c r="E537" s="30">
        <v>46176</v>
      </c>
      <c r="F537" s="31">
        <v>0.77083333333333337</v>
      </c>
      <c r="G537" s="29" t="s">
        <v>18</v>
      </c>
      <c r="H537" s="29" t="s">
        <v>310</v>
      </c>
      <c r="I537" s="27" t="s">
        <v>300</v>
      </c>
      <c r="J537" s="27" t="s">
        <v>16</v>
      </c>
      <c r="K537" s="27" t="s">
        <v>44</v>
      </c>
      <c r="L537" s="27" t="s">
        <v>15</v>
      </c>
      <c r="M537" s="27" t="s">
        <v>48</v>
      </c>
      <c r="N537" s="29" t="s">
        <v>274</v>
      </c>
      <c r="O537" s="29" t="s">
        <v>541</v>
      </c>
      <c r="P537" s="29">
        <v>17</v>
      </c>
      <c r="Q537" s="32">
        <f xml:space="preserve"> (playerGameStats!$R537 * 2) + (playerGameStats!$S537 * 3) + (playerGameStats!$T537)</f>
        <v>0</v>
      </c>
      <c r="R537" s="29">
        <v>0</v>
      </c>
      <c r="S537" s="29">
        <v>0</v>
      </c>
      <c r="T537" s="29">
        <v>0</v>
      </c>
      <c r="U537" s="28">
        <v>0</v>
      </c>
    </row>
    <row r="538" spans="1:21" x14ac:dyDescent="0.25">
      <c r="A538" s="34" t="s">
        <v>542</v>
      </c>
      <c r="B538" s="34">
        <v>2026</v>
      </c>
      <c r="C538" s="34" t="s">
        <v>37</v>
      </c>
      <c r="D538" s="34">
        <v>8</v>
      </c>
      <c r="E538" s="35">
        <v>46176</v>
      </c>
      <c r="F538" s="22">
        <v>0.8125</v>
      </c>
      <c r="G538" s="34" t="s">
        <v>18</v>
      </c>
      <c r="H538" s="34" t="s">
        <v>310</v>
      </c>
      <c r="I538" s="36" t="s">
        <v>297</v>
      </c>
      <c r="J538" s="36" t="s">
        <v>13</v>
      </c>
      <c r="K538" s="36" t="s">
        <v>47</v>
      </c>
      <c r="L538" s="36" t="s">
        <v>14</v>
      </c>
      <c r="M538" s="36" t="s">
        <v>43</v>
      </c>
      <c r="N538" s="34" t="s">
        <v>249</v>
      </c>
      <c r="O538" s="34" t="s">
        <v>543</v>
      </c>
      <c r="P538" s="34">
        <v>0</v>
      </c>
      <c r="Q538" s="37">
        <f xml:space="preserve"> (playerGameStats!$R538 * 2) + (playerGameStats!$S538 * 3) + (playerGameStats!$T538)</f>
        <v>8</v>
      </c>
      <c r="R538" s="34">
        <v>2</v>
      </c>
      <c r="S538" s="34">
        <v>1</v>
      </c>
      <c r="T538" s="34">
        <v>1</v>
      </c>
      <c r="U538" s="38">
        <v>2</v>
      </c>
    </row>
    <row r="539" spans="1:21" x14ac:dyDescent="0.25">
      <c r="A539" s="34" t="s">
        <v>542</v>
      </c>
      <c r="B539" s="34">
        <v>2026</v>
      </c>
      <c r="C539" s="34" t="s">
        <v>37</v>
      </c>
      <c r="D539" s="34">
        <v>8</v>
      </c>
      <c r="E539" s="35">
        <v>46176</v>
      </c>
      <c r="F539" s="22">
        <v>0.8125</v>
      </c>
      <c r="G539" s="34" t="s">
        <v>18</v>
      </c>
      <c r="H539" s="34" t="s">
        <v>310</v>
      </c>
      <c r="I539" s="36" t="s">
        <v>297</v>
      </c>
      <c r="J539" s="36" t="s">
        <v>13</v>
      </c>
      <c r="K539" s="36" t="s">
        <v>47</v>
      </c>
      <c r="L539" s="36" t="s">
        <v>14</v>
      </c>
      <c r="M539" s="36" t="s">
        <v>43</v>
      </c>
      <c r="N539" s="34" t="s">
        <v>244</v>
      </c>
      <c r="O539" s="34" t="s">
        <v>544</v>
      </c>
      <c r="P539" s="34">
        <v>4</v>
      </c>
      <c r="Q539" s="37">
        <f xml:space="preserve"> (playerGameStats!$R539 * 2) + (playerGameStats!$S539 * 3) + (playerGameStats!$T539)</f>
        <v>17</v>
      </c>
      <c r="R539" s="34">
        <v>1</v>
      </c>
      <c r="S539" s="34">
        <v>5</v>
      </c>
      <c r="T539" s="34">
        <v>0</v>
      </c>
      <c r="U539" s="38">
        <v>0</v>
      </c>
    </row>
    <row r="540" spans="1:21" x14ac:dyDescent="0.25">
      <c r="A540" s="34" t="s">
        <v>542</v>
      </c>
      <c r="B540" s="34">
        <v>2026</v>
      </c>
      <c r="C540" s="34" t="s">
        <v>37</v>
      </c>
      <c r="D540" s="34">
        <v>8</v>
      </c>
      <c r="E540" s="35">
        <v>46176</v>
      </c>
      <c r="F540" s="22">
        <v>0.8125</v>
      </c>
      <c r="G540" s="34" t="s">
        <v>18</v>
      </c>
      <c r="H540" s="34" t="s">
        <v>310</v>
      </c>
      <c r="I540" s="36" t="s">
        <v>297</v>
      </c>
      <c r="J540" s="36" t="s">
        <v>13</v>
      </c>
      <c r="K540" s="36" t="s">
        <v>47</v>
      </c>
      <c r="L540" s="36" t="s">
        <v>14</v>
      </c>
      <c r="M540" s="36" t="s">
        <v>43</v>
      </c>
      <c r="N540" s="34" t="s">
        <v>251</v>
      </c>
      <c r="O540" s="34" t="s">
        <v>474</v>
      </c>
      <c r="P540" s="34">
        <v>13</v>
      </c>
      <c r="Q540" s="37">
        <f xml:space="preserve"> (playerGameStats!$R540 * 2) + (playerGameStats!$S540 * 3) + (playerGameStats!$T540)</f>
        <v>6</v>
      </c>
      <c r="R540" s="34">
        <v>0</v>
      </c>
      <c r="S540" s="34">
        <v>2</v>
      </c>
      <c r="T540" s="34">
        <v>0</v>
      </c>
      <c r="U540" s="38">
        <v>0</v>
      </c>
    </row>
    <row r="541" spans="1:21" x14ac:dyDescent="0.25">
      <c r="A541" s="34" t="s">
        <v>542</v>
      </c>
      <c r="B541" s="34">
        <v>2026</v>
      </c>
      <c r="C541" s="34" t="s">
        <v>37</v>
      </c>
      <c r="D541" s="34">
        <v>8</v>
      </c>
      <c r="E541" s="35">
        <v>46176</v>
      </c>
      <c r="F541" s="22">
        <v>0.8125</v>
      </c>
      <c r="G541" s="34" t="s">
        <v>18</v>
      </c>
      <c r="H541" s="34" t="s">
        <v>310</v>
      </c>
      <c r="I541" s="36" t="s">
        <v>297</v>
      </c>
      <c r="J541" s="36" t="s">
        <v>13</v>
      </c>
      <c r="K541" s="36" t="s">
        <v>47</v>
      </c>
      <c r="L541" s="36" t="s">
        <v>14</v>
      </c>
      <c r="M541" s="36" t="s">
        <v>43</v>
      </c>
      <c r="N541" s="34" t="s">
        <v>247</v>
      </c>
      <c r="O541" s="34" t="s">
        <v>545</v>
      </c>
      <c r="P541" s="34">
        <v>21</v>
      </c>
      <c r="Q541" s="37">
        <f xml:space="preserve"> (playerGameStats!$R541 * 2) + (playerGameStats!$S541 * 3) + (playerGameStats!$T541)</f>
        <v>12</v>
      </c>
      <c r="R541" s="34">
        <v>3</v>
      </c>
      <c r="S541" s="34">
        <v>2</v>
      </c>
      <c r="T541" s="34">
        <v>0</v>
      </c>
      <c r="U541" s="38">
        <v>0</v>
      </c>
    </row>
    <row r="542" spans="1:21" x14ac:dyDescent="0.25">
      <c r="A542" s="34" t="s">
        <v>542</v>
      </c>
      <c r="B542" s="34">
        <v>2026</v>
      </c>
      <c r="C542" s="34" t="s">
        <v>37</v>
      </c>
      <c r="D542" s="34">
        <v>8</v>
      </c>
      <c r="E542" s="35">
        <v>46176</v>
      </c>
      <c r="F542" s="22">
        <v>0.8125</v>
      </c>
      <c r="G542" s="34" t="s">
        <v>18</v>
      </c>
      <c r="H542" s="34" t="s">
        <v>310</v>
      </c>
      <c r="I542" s="36" t="s">
        <v>297</v>
      </c>
      <c r="J542" s="36" t="s">
        <v>13</v>
      </c>
      <c r="K542" s="36" t="s">
        <v>47</v>
      </c>
      <c r="L542" s="36" t="s">
        <v>14</v>
      </c>
      <c r="M542" s="36" t="s">
        <v>43</v>
      </c>
      <c r="N542" s="34" t="s">
        <v>245</v>
      </c>
      <c r="O542" s="34" t="s">
        <v>546</v>
      </c>
      <c r="P542" s="34">
        <v>22</v>
      </c>
      <c r="Q542" s="37">
        <f xml:space="preserve"> (playerGameStats!$R542 * 2) + (playerGameStats!$S542 * 3) + (playerGameStats!$T542)</f>
        <v>7</v>
      </c>
      <c r="R542" s="34">
        <v>2</v>
      </c>
      <c r="S542" s="34">
        <v>0</v>
      </c>
      <c r="T542" s="34">
        <v>3</v>
      </c>
      <c r="U542" s="38">
        <v>5</v>
      </c>
    </row>
    <row r="543" spans="1:21" x14ac:dyDescent="0.25">
      <c r="A543" s="29" t="s">
        <v>542</v>
      </c>
      <c r="B543" s="29">
        <v>2026</v>
      </c>
      <c r="C543" s="29" t="s">
        <v>37</v>
      </c>
      <c r="D543" s="29">
        <v>8</v>
      </c>
      <c r="E543" s="30">
        <v>46176</v>
      </c>
      <c r="F543" s="31">
        <v>0.8125</v>
      </c>
      <c r="G543" s="29" t="s">
        <v>18</v>
      </c>
      <c r="H543" s="29" t="s">
        <v>310</v>
      </c>
      <c r="I543" s="27" t="s">
        <v>299</v>
      </c>
      <c r="J543" s="27" t="s">
        <v>14</v>
      </c>
      <c r="K543" s="27" t="s">
        <v>43</v>
      </c>
      <c r="L543" s="27" t="s">
        <v>13</v>
      </c>
      <c r="M543" s="27" t="s">
        <v>47</v>
      </c>
      <c r="N543" s="29" t="s">
        <v>271</v>
      </c>
      <c r="O543" s="29" t="s">
        <v>549</v>
      </c>
      <c r="P543" s="29">
        <v>1</v>
      </c>
      <c r="Q543" s="32">
        <f xml:space="preserve"> (playerGameStats!$R543 * 2) + (playerGameStats!$S543 * 3) + (playerGameStats!$T543)</f>
        <v>10</v>
      </c>
      <c r="R543" s="29">
        <v>3</v>
      </c>
      <c r="S543" s="29">
        <v>1</v>
      </c>
      <c r="T543" s="29">
        <v>1</v>
      </c>
      <c r="U543" s="28">
        <v>2</v>
      </c>
    </row>
    <row r="544" spans="1:21" x14ac:dyDescent="0.25">
      <c r="A544" s="29" t="s">
        <v>542</v>
      </c>
      <c r="B544" s="29">
        <v>2026</v>
      </c>
      <c r="C544" s="29" t="s">
        <v>37</v>
      </c>
      <c r="D544" s="29">
        <v>8</v>
      </c>
      <c r="E544" s="30">
        <v>46176</v>
      </c>
      <c r="F544" s="31">
        <v>0.8125</v>
      </c>
      <c r="G544" s="29" t="s">
        <v>18</v>
      </c>
      <c r="H544" s="29" t="s">
        <v>310</v>
      </c>
      <c r="I544" s="27" t="s">
        <v>299</v>
      </c>
      <c r="J544" s="27" t="s">
        <v>14</v>
      </c>
      <c r="K544" s="27" t="s">
        <v>43</v>
      </c>
      <c r="L544" s="27" t="s">
        <v>13</v>
      </c>
      <c r="M544" s="27" t="s">
        <v>47</v>
      </c>
      <c r="N544" s="29" t="s">
        <v>267</v>
      </c>
      <c r="O544" s="29" t="s">
        <v>455</v>
      </c>
      <c r="P544" s="29">
        <v>4</v>
      </c>
      <c r="Q544" s="32">
        <f xml:space="preserve"> (playerGameStats!$R544 * 2) + (playerGameStats!$S544 * 3) + (playerGameStats!$T544)</f>
        <v>2</v>
      </c>
      <c r="R544" s="29">
        <v>1</v>
      </c>
      <c r="S544" s="29">
        <v>0</v>
      </c>
      <c r="T544" s="29">
        <v>0</v>
      </c>
      <c r="U544" s="28">
        <v>0</v>
      </c>
    </row>
    <row r="545" spans="1:21" x14ac:dyDescent="0.25">
      <c r="A545" s="29" t="s">
        <v>542</v>
      </c>
      <c r="B545" s="29">
        <v>2026</v>
      </c>
      <c r="C545" s="29" t="s">
        <v>37</v>
      </c>
      <c r="D545" s="29">
        <v>8</v>
      </c>
      <c r="E545" s="30">
        <v>46176</v>
      </c>
      <c r="F545" s="31">
        <v>0.8125</v>
      </c>
      <c r="G545" s="29" t="s">
        <v>18</v>
      </c>
      <c r="H545" s="29" t="s">
        <v>310</v>
      </c>
      <c r="I545" s="27" t="s">
        <v>299</v>
      </c>
      <c r="J545" s="27" t="s">
        <v>14</v>
      </c>
      <c r="K545" s="27" t="s">
        <v>43</v>
      </c>
      <c r="L545" s="27" t="s">
        <v>13</v>
      </c>
      <c r="M545" s="27" t="s">
        <v>47</v>
      </c>
      <c r="N545" s="29" t="s">
        <v>547</v>
      </c>
      <c r="O545" s="29" t="s">
        <v>550</v>
      </c>
      <c r="P545" s="29">
        <v>6</v>
      </c>
      <c r="Q545" s="32">
        <f xml:space="preserve"> (playerGameStats!$R545 * 2) + (playerGameStats!$S545 * 3) + (playerGameStats!$T545)</f>
        <v>15</v>
      </c>
      <c r="R545" s="29">
        <v>3</v>
      </c>
      <c r="S545" s="29">
        <v>3</v>
      </c>
      <c r="T545" s="29">
        <v>0</v>
      </c>
      <c r="U545" s="28">
        <v>0</v>
      </c>
    </row>
    <row r="546" spans="1:21" x14ac:dyDescent="0.25">
      <c r="A546" s="29" t="s">
        <v>542</v>
      </c>
      <c r="B546" s="29">
        <v>2026</v>
      </c>
      <c r="C546" s="29" t="s">
        <v>37</v>
      </c>
      <c r="D546" s="29">
        <v>8</v>
      </c>
      <c r="E546" s="30">
        <v>46176</v>
      </c>
      <c r="F546" s="31">
        <v>0.8125</v>
      </c>
      <c r="G546" s="29" t="s">
        <v>18</v>
      </c>
      <c r="H546" s="29" t="s">
        <v>310</v>
      </c>
      <c r="I546" s="27" t="s">
        <v>299</v>
      </c>
      <c r="J546" s="27" t="s">
        <v>14</v>
      </c>
      <c r="K546" s="27" t="s">
        <v>43</v>
      </c>
      <c r="L546" s="27" t="s">
        <v>13</v>
      </c>
      <c r="M546" s="27" t="s">
        <v>47</v>
      </c>
      <c r="N546" s="29" t="s">
        <v>270</v>
      </c>
      <c r="O546" s="29" t="s">
        <v>551</v>
      </c>
      <c r="P546" s="29">
        <v>7</v>
      </c>
      <c r="Q546" s="32">
        <f xml:space="preserve"> (playerGameStats!$R546 * 2) + (playerGameStats!$S546 * 3) + (playerGameStats!$T546)</f>
        <v>1</v>
      </c>
      <c r="R546" s="29">
        <v>0</v>
      </c>
      <c r="S546" s="29">
        <v>0</v>
      </c>
      <c r="T546" s="29">
        <v>1</v>
      </c>
      <c r="U546" s="28">
        <v>2</v>
      </c>
    </row>
    <row r="547" spans="1:21" x14ac:dyDescent="0.25">
      <c r="A547" s="29" t="s">
        <v>542</v>
      </c>
      <c r="B547" s="29">
        <v>2026</v>
      </c>
      <c r="C547" s="29" t="s">
        <v>37</v>
      </c>
      <c r="D547" s="29">
        <v>8</v>
      </c>
      <c r="E547" s="30">
        <v>46176</v>
      </c>
      <c r="F547" s="31">
        <v>0.8125</v>
      </c>
      <c r="G547" s="29" t="s">
        <v>18</v>
      </c>
      <c r="H547" s="29" t="s">
        <v>310</v>
      </c>
      <c r="I547" s="27" t="s">
        <v>299</v>
      </c>
      <c r="J547" s="27" t="s">
        <v>14</v>
      </c>
      <c r="K547" s="27" t="s">
        <v>43</v>
      </c>
      <c r="L547" s="27" t="s">
        <v>13</v>
      </c>
      <c r="M547" s="27" t="s">
        <v>47</v>
      </c>
      <c r="N547" s="29" t="s">
        <v>262</v>
      </c>
      <c r="O547" s="29" t="s">
        <v>552</v>
      </c>
      <c r="P547" s="29">
        <v>9</v>
      </c>
      <c r="Q547" s="32">
        <f xml:space="preserve"> (playerGameStats!$R547 * 2) + (playerGameStats!$S547 * 3) + (playerGameStats!$T547)</f>
        <v>12</v>
      </c>
      <c r="R547" s="29">
        <v>6</v>
      </c>
      <c r="S547" s="29">
        <v>0</v>
      </c>
      <c r="T547" s="29">
        <v>0</v>
      </c>
      <c r="U547" s="28">
        <v>0</v>
      </c>
    </row>
    <row r="548" spans="1:21" x14ac:dyDescent="0.25">
      <c r="A548" s="29" t="s">
        <v>542</v>
      </c>
      <c r="B548" s="29">
        <v>2026</v>
      </c>
      <c r="C548" s="29" t="s">
        <v>37</v>
      </c>
      <c r="D548" s="29">
        <v>8</v>
      </c>
      <c r="E548" s="30">
        <v>46176</v>
      </c>
      <c r="F548" s="31">
        <v>0.8125</v>
      </c>
      <c r="G548" s="29" t="s">
        <v>18</v>
      </c>
      <c r="H548" s="29" t="s">
        <v>310</v>
      </c>
      <c r="I548" s="27" t="s">
        <v>299</v>
      </c>
      <c r="J548" s="27" t="s">
        <v>14</v>
      </c>
      <c r="K548" s="27" t="s">
        <v>43</v>
      </c>
      <c r="L548" s="27" t="s">
        <v>13</v>
      </c>
      <c r="M548" s="27" t="s">
        <v>47</v>
      </c>
      <c r="N548" s="29" t="s">
        <v>263</v>
      </c>
      <c r="O548" s="29" t="s">
        <v>553</v>
      </c>
      <c r="P548" s="29">
        <v>12</v>
      </c>
      <c r="Q548" s="32">
        <f xml:space="preserve"> (playerGameStats!$R548 * 2) + (playerGameStats!$S548 * 3) + (playerGameStats!$T548)</f>
        <v>0</v>
      </c>
      <c r="R548" s="29">
        <v>0</v>
      </c>
      <c r="S548" s="29">
        <v>0</v>
      </c>
      <c r="T548" s="29">
        <v>0</v>
      </c>
      <c r="U548" s="28">
        <v>0</v>
      </c>
    </row>
    <row r="549" spans="1:21" x14ac:dyDescent="0.25">
      <c r="A549" s="29" t="s">
        <v>542</v>
      </c>
      <c r="B549" s="29">
        <v>2026</v>
      </c>
      <c r="C549" s="29" t="s">
        <v>37</v>
      </c>
      <c r="D549" s="29">
        <v>8</v>
      </c>
      <c r="E549" s="30">
        <v>46176</v>
      </c>
      <c r="F549" s="31">
        <v>0.8125</v>
      </c>
      <c r="G549" s="29" t="s">
        <v>18</v>
      </c>
      <c r="H549" s="29" t="s">
        <v>310</v>
      </c>
      <c r="I549" s="27" t="s">
        <v>299</v>
      </c>
      <c r="J549" s="27" t="s">
        <v>14</v>
      </c>
      <c r="K549" s="27" t="s">
        <v>43</v>
      </c>
      <c r="L549" s="27" t="s">
        <v>13</v>
      </c>
      <c r="M549" s="27" t="s">
        <v>47</v>
      </c>
      <c r="N549" s="29" t="s">
        <v>266</v>
      </c>
      <c r="O549" s="29" t="s">
        <v>554</v>
      </c>
      <c r="P549" s="29">
        <v>50</v>
      </c>
      <c r="Q549" s="32">
        <f xml:space="preserve"> (playerGameStats!$R549 * 2) + (playerGameStats!$S549 * 3) + (playerGameStats!$T549)</f>
        <v>9</v>
      </c>
      <c r="R549" s="29">
        <v>4</v>
      </c>
      <c r="S549" s="29">
        <v>0</v>
      </c>
      <c r="T549" s="29">
        <v>1</v>
      </c>
      <c r="U549" s="28">
        <v>2</v>
      </c>
    </row>
  </sheetData>
  <autoFilter ref="A1:U506" xr:uid="{614AF34C-B63C-4CF6-8513-43F58983B75E}"/>
  <phoneticPr fontId="3" type="noConversion"/>
  <dataValidations count="1">
    <dataValidation type="whole" operator="greaterThanOrEqual" allowBlank="1" errorTitle="Invalid stat value" error="Enter a whole number 0 or greater. Delete the row if this player did not play." sqref="Q2:U506 Q507:Q549" xr:uid="{00000000-0002-0000-0900-000000000000}">
      <formula1>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AD5CA673-F249-41B9-AB9F-99CEB21CC0B2}">
          <x14:formula1>
            <xm:f>players!$A$2:$A$84</xm:f>
          </x14:formula1>
          <xm:sqref>N2:N506 N522:N1048576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9643C-430F-4A78-ADC0-440818B31061}">
  <dimension ref="A1:I24"/>
  <sheetViews>
    <sheetView workbookViewId="0">
      <selection activeCell="A25" sqref="A25:XFD25"/>
    </sheetView>
  </sheetViews>
  <sheetFormatPr defaultColWidth="35.85546875" defaultRowHeight="15" x14ac:dyDescent="0.25"/>
  <cols>
    <col min="1" max="1" width="48" bestFit="1" customWidth="1"/>
    <col min="2" max="2" width="8.85546875" bestFit="1" customWidth="1"/>
    <col min="3" max="3" width="5.85546875" bestFit="1" customWidth="1"/>
    <col min="4" max="4" width="39.42578125" bestFit="1" customWidth="1"/>
  </cols>
  <sheetData>
    <row r="1" spans="1:9" x14ac:dyDescent="0.25">
      <c r="A1" t="s">
        <v>395</v>
      </c>
      <c r="B1" t="s">
        <v>62</v>
      </c>
      <c r="C1" t="s">
        <v>0</v>
      </c>
      <c r="D1" t="s">
        <v>63</v>
      </c>
      <c r="E1" t="s">
        <v>396</v>
      </c>
      <c r="F1" t="s">
        <v>64</v>
      </c>
      <c r="G1" t="s">
        <v>68</v>
      </c>
      <c r="H1" t="s">
        <v>66</v>
      </c>
      <c r="I1" t="s">
        <v>67</v>
      </c>
    </row>
    <row r="2" spans="1:9" x14ac:dyDescent="0.25">
      <c r="A2" t="str">
        <f>LOWER(B2&amp;"-w"&amp;C2&amp;"-"&amp;SUBSTITUTE(SUBSTITUTE(SUBSTITUTE(SUBSTITUTE(SUBSTITUTE(TRIM(D2)," ","-"),"'",""),":",""),".",""),",",""))</f>
        <v>2026-w1-player-of-the-week</v>
      </c>
      <c r="B2">
        <v>2026</v>
      </c>
      <c r="C2">
        <v>1</v>
      </c>
      <c r="D2" t="s">
        <v>434</v>
      </c>
      <c r="E2" t="s">
        <v>435</v>
      </c>
      <c r="F2" t="s">
        <v>218</v>
      </c>
      <c r="G2" t="s">
        <v>294</v>
      </c>
      <c r="H2" t="s">
        <v>436</v>
      </c>
      <c r="I2" t="s">
        <v>437</v>
      </c>
    </row>
    <row r="3" spans="1:9" x14ac:dyDescent="0.25">
      <c r="A3" t="str">
        <f t="shared" ref="A3:A24" si="0">LOWER(B3&amp;"-w"&amp;C3&amp;"-"&amp;SUBSTITUTE(SUBSTITUTE(SUBSTITUTE(SUBSTITUTE(SUBSTITUTE(TRIM(D3)," ","-"),"'",""),":",""),".",""),",",""))</f>
        <v>2026-w1-heat-check-award</v>
      </c>
      <c r="B3">
        <v>2026</v>
      </c>
      <c r="C3">
        <v>1</v>
      </c>
      <c r="D3" t="s">
        <v>438</v>
      </c>
      <c r="E3" t="s">
        <v>439</v>
      </c>
      <c r="F3" t="s">
        <v>253</v>
      </c>
      <c r="G3" t="s">
        <v>298</v>
      </c>
      <c r="H3" t="s">
        <v>440</v>
      </c>
      <c r="I3" t="s">
        <v>441</v>
      </c>
    </row>
    <row r="4" spans="1:9" x14ac:dyDescent="0.25">
      <c r="A4" t="str">
        <f t="shared" si="0"/>
        <v>2026-w2-player-of-the-week</v>
      </c>
      <c r="B4">
        <v>2026</v>
      </c>
      <c r="C4">
        <v>2</v>
      </c>
      <c r="D4" t="s">
        <v>434</v>
      </c>
      <c r="E4" t="s">
        <v>439</v>
      </c>
      <c r="F4" t="s">
        <v>253</v>
      </c>
      <c r="G4" t="s">
        <v>298</v>
      </c>
      <c r="H4" t="s">
        <v>446</v>
      </c>
      <c r="I4" t="s">
        <v>447</v>
      </c>
    </row>
    <row r="5" spans="1:9" x14ac:dyDescent="0.25">
      <c r="A5" t="str">
        <f t="shared" si="0"/>
        <v>2026-w2-logo-lillard-buzzer-beater-award</v>
      </c>
      <c r="B5">
        <v>2026</v>
      </c>
      <c r="C5">
        <v>2</v>
      </c>
      <c r="D5" t="s">
        <v>443</v>
      </c>
      <c r="E5" t="s">
        <v>442</v>
      </c>
      <c r="F5" t="s">
        <v>291</v>
      </c>
      <c r="G5" t="s">
        <v>301</v>
      </c>
      <c r="H5" t="s">
        <v>444</v>
      </c>
      <c r="I5" t="s">
        <v>445</v>
      </c>
    </row>
    <row r="6" spans="1:9" x14ac:dyDescent="0.25">
      <c r="A6" t="str">
        <f t="shared" si="0"/>
        <v>2026-w2-built-different-award</v>
      </c>
      <c r="B6">
        <v>2026</v>
      </c>
      <c r="C6">
        <v>2</v>
      </c>
      <c r="D6" t="s">
        <v>448</v>
      </c>
      <c r="E6" t="s">
        <v>45</v>
      </c>
      <c r="G6" t="s">
        <v>295</v>
      </c>
      <c r="H6" t="s">
        <v>449</v>
      </c>
      <c r="I6" t="s">
        <v>450</v>
      </c>
    </row>
    <row r="7" spans="1:9" x14ac:dyDescent="0.25">
      <c r="A7" t="str">
        <f t="shared" ref="A7" si="1">LOWER(B7&amp;"-w"&amp;C7&amp;"-"&amp;SUBSTITUTE(SUBSTITUTE(SUBSTITUTE(SUBSTITUTE(SUBSTITUTE(TRIM(D7)," ","-"),"'",""),":",""),".",""),",",""))</f>
        <v>2026-w2-x-factor-award</v>
      </c>
      <c r="B7">
        <v>2026</v>
      </c>
      <c r="C7">
        <v>2</v>
      </c>
      <c r="D7" t="s">
        <v>493</v>
      </c>
      <c r="E7" t="s">
        <v>494</v>
      </c>
      <c r="F7" t="s">
        <v>248</v>
      </c>
      <c r="G7" t="s">
        <v>297</v>
      </c>
      <c r="H7" t="s">
        <v>495</v>
      </c>
      <c r="I7" t="s">
        <v>496</v>
      </c>
    </row>
    <row r="8" spans="1:9" x14ac:dyDescent="0.25">
      <c r="A8" t="str">
        <f t="shared" si="0"/>
        <v>2026-w3-player-of-the-week</v>
      </c>
      <c r="B8">
        <v>2026</v>
      </c>
      <c r="C8">
        <v>3</v>
      </c>
      <c r="D8" t="s">
        <v>434</v>
      </c>
      <c r="E8" t="s">
        <v>451</v>
      </c>
      <c r="F8" t="s">
        <v>229</v>
      </c>
      <c r="G8" t="s">
        <v>295</v>
      </c>
      <c r="H8" t="s">
        <v>452</v>
      </c>
      <c r="I8" t="s">
        <v>453</v>
      </c>
    </row>
    <row r="9" spans="1:9" x14ac:dyDescent="0.25">
      <c r="A9" t="str">
        <f t="shared" si="0"/>
        <v>2026-w3-sharpshooter-award</v>
      </c>
      <c r="B9">
        <v>2026</v>
      </c>
      <c r="C9">
        <v>3</v>
      </c>
      <c r="D9" t="s">
        <v>454</v>
      </c>
      <c r="E9" t="s">
        <v>455</v>
      </c>
      <c r="F9" t="s">
        <v>267</v>
      </c>
      <c r="G9" t="s">
        <v>299</v>
      </c>
      <c r="H9" t="s">
        <v>456</v>
      </c>
      <c r="I9" t="s">
        <v>457</v>
      </c>
    </row>
    <row r="10" spans="1:9" x14ac:dyDescent="0.25">
      <c r="A10" t="str">
        <f t="shared" ref="A10" si="2">LOWER(B10&amp;"-w"&amp;C10&amp;"-"&amp;SUBSTITUTE(SUBSTITUTE(SUBSTITUTE(SUBSTITUTE(SUBSTITUTE(TRIM(D10)," ","-"),"'",""),":",""),".",""),",",""))</f>
        <v>2026-w3-every-dawg-has-his-day-award</v>
      </c>
      <c r="B10">
        <v>2026</v>
      </c>
      <c r="C10">
        <v>3</v>
      </c>
      <c r="D10" t="s">
        <v>508</v>
      </c>
      <c r="E10" t="s">
        <v>511</v>
      </c>
      <c r="F10" t="s">
        <v>239</v>
      </c>
      <c r="G10" t="s">
        <v>296</v>
      </c>
      <c r="H10" t="s">
        <v>509</v>
      </c>
      <c r="I10" t="s">
        <v>510</v>
      </c>
    </row>
    <row r="11" spans="1:9" x14ac:dyDescent="0.25">
      <c r="A11" t="str">
        <f t="shared" si="0"/>
        <v>2026-w3-macgyver-award</v>
      </c>
      <c r="B11">
        <v>2026</v>
      </c>
      <c r="C11">
        <v>3</v>
      </c>
      <c r="D11" t="s">
        <v>458</v>
      </c>
      <c r="E11" t="s">
        <v>459</v>
      </c>
      <c r="H11" t="s">
        <v>460</v>
      </c>
      <c r="I11" t="s">
        <v>461</v>
      </c>
    </row>
    <row r="12" spans="1:9" x14ac:dyDescent="0.25">
      <c r="A12" t="str">
        <f t="shared" si="0"/>
        <v>2026-w4-player-of-the-week</v>
      </c>
      <c r="B12">
        <v>2026</v>
      </c>
      <c r="C12">
        <v>4</v>
      </c>
      <c r="D12" t="s">
        <v>434</v>
      </c>
      <c r="E12" t="s">
        <v>462</v>
      </c>
      <c r="F12" t="s">
        <v>227</v>
      </c>
      <c r="G12" t="s">
        <v>295</v>
      </c>
      <c r="H12" t="s">
        <v>463</v>
      </c>
      <c r="I12" t="s">
        <v>464</v>
      </c>
    </row>
    <row r="13" spans="1:9" x14ac:dyDescent="0.25">
      <c r="A13" t="str">
        <f t="shared" si="0"/>
        <v>2026-w4-trey-murphy-iii-most-3pm-in-a-loss-award</v>
      </c>
      <c r="B13">
        <v>2026</v>
      </c>
      <c r="C13">
        <v>4</v>
      </c>
      <c r="D13" t="s">
        <v>468</v>
      </c>
      <c r="E13" t="s">
        <v>465</v>
      </c>
      <c r="F13" t="s">
        <v>277</v>
      </c>
      <c r="G13" t="s">
        <v>300</v>
      </c>
      <c r="H13" t="s">
        <v>466</v>
      </c>
      <c r="I13" t="s">
        <v>467</v>
      </c>
    </row>
    <row r="14" spans="1:9" x14ac:dyDescent="0.25">
      <c r="A14" t="str">
        <f t="shared" ref="A14" si="3">LOWER(B14&amp;"-w"&amp;C14&amp;"-"&amp;SUBSTITUTE(SUBSTITUTE(SUBSTITUTE(SUBSTITUTE(SUBSTITUTE(TRIM(D14)," ","-"),"'",""),":",""),".",""),",",""))</f>
        <v>2026-w4-somebody-guard-him-award</v>
      </c>
      <c r="B14">
        <v>2026</v>
      </c>
      <c r="C14">
        <v>4</v>
      </c>
      <c r="D14" t="s">
        <v>501</v>
      </c>
      <c r="E14" t="s">
        <v>497</v>
      </c>
      <c r="F14" t="s">
        <v>265</v>
      </c>
      <c r="G14" t="s">
        <v>299</v>
      </c>
      <c r="H14" t="s">
        <v>498</v>
      </c>
      <c r="I14" t="s">
        <v>499</v>
      </c>
    </row>
    <row r="15" spans="1:9" x14ac:dyDescent="0.25">
      <c r="A15" t="str">
        <f t="shared" si="0"/>
        <v>2026-w4-dawg-award</v>
      </c>
      <c r="B15">
        <v>2026</v>
      </c>
      <c r="C15">
        <v>4</v>
      </c>
      <c r="D15" t="s">
        <v>469</v>
      </c>
      <c r="E15" t="s">
        <v>470</v>
      </c>
      <c r="F15" t="s">
        <v>242</v>
      </c>
      <c r="G15" t="s">
        <v>296</v>
      </c>
      <c r="H15" t="s">
        <v>471</v>
      </c>
      <c r="I15" t="s">
        <v>472</v>
      </c>
    </row>
    <row r="16" spans="1:9" x14ac:dyDescent="0.25">
      <c r="A16" t="str">
        <f t="shared" si="0"/>
        <v>2026-w5-player-of-the-week</v>
      </c>
      <c r="B16">
        <v>2026</v>
      </c>
      <c r="C16">
        <v>5</v>
      </c>
      <c r="D16" t="s">
        <v>434</v>
      </c>
      <c r="E16" t="s">
        <v>435</v>
      </c>
      <c r="F16" t="s">
        <v>218</v>
      </c>
      <c r="G16" t="s">
        <v>294</v>
      </c>
      <c r="H16" t="s">
        <v>476</v>
      </c>
      <c r="I16" t="s">
        <v>475</v>
      </c>
    </row>
    <row r="17" spans="1:9" x14ac:dyDescent="0.25">
      <c r="A17" t="str">
        <f t="shared" si="0"/>
        <v>2026-w5-"i-circled-this-game-in-march"-award</v>
      </c>
      <c r="B17">
        <v>2026</v>
      </c>
      <c r="C17">
        <v>5</v>
      </c>
      <c r="D17" t="s">
        <v>500</v>
      </c>
      <c r="E17" t="s">
        <v>474</v>
      </c>
      <c r="F17" t="s">
        <v>251</v>
      </c>
      <c r="G17" t="s">
        <v>297</v>
      </c>
      <c r="H17" t="s">
        <v>482</v>
      </c>
      <c r="I17" t="s">
        <v>483</v>
      </c>
    </row>
    <row r="18" spans="1:9" x14ac:dyDescent="0.25">
      <c r="A18" t="str">
        <f t="shared" si="0"/>
        <v>2026-w5-open-gym-shootaround</v>
      </c>
      <c r="B18">
        <v>2026</v>
      </c>
      <c r="C18">
        <v>5</v>
      </c>
      <c r="D18" t="s">
        <v>473</v>
      </c>
      <c r="E18" t="s">
        <v>42</v>
      </c>
      <c r="G18" t="s">
        <v>294</v>
      </c>
      <c r="H18" t="s">
        <v>485</v>
      </c>
      <c r="I18" t="s">
        <v>484</v>
      </c>
    </row>
    <row r="19" spans="1:9" x14ac:dyDescent="0.25">
      <c r="A19" t="str">
        <f t="shared" si="0"/>
        <v>2026-w5-dawg-award</v>
      </c>
      <c r="B19">
        <v>2026</v>
      </c>
      <c r="C19">
        <v>5</v>
      </c>
      <c r="D19" t="s">
        <v>469</v>
      </c>
      <c r="E19" t="s">
        <v>477</v>
      </c>
      <c r="F19" t="s">
        <v>228</v>
      </c>
      <c r="G19" t="s">
        <v>295</v>
      </c>
      <c r="H19" t="s">
        <v>478</v>
      </c>
      <c r="I19" t="s">
        <v>479</v>
      </c>
    </row>
    <row r="20" spans="1:9" x14ac:dyDescent="0.25">
      <c r="A20" t="str">
        <f t="shared" si="0"/>
        <v>2026-w5-waka-flaka-hard-in-the-paint-award</v>
      </c>
      <c r="B20">
        <v>2026</v>
      </c>
      <c r="C20">
        <v>5</v>
      </c>
      <c r="D20" t="s">
        <v>480</v>
      </c>
      <c r="E20" t="s">
        <v>451</v>
      </c>
      <c r="F20" t="s">
        <v>229</v>
      </c>
      <c r="G20" t="s">
        <v>295</v>
      </c>
      <c r="H20" t="s">
        <v>481</v>
      </c>
      <c r="I20" t="s">
        <v>492</v>
      </c>
    </row>
    <row r="21" spans="1:9" x14ac:dyDescent="0.25">
      <c r="A21" t="str">
        <f t="shared" si="0"/>
        <v>2026-w6-big-baller-award</v>
      </c>
      <c r="B21">
        <v>2026</v>
      </c>
      <c r="C21">
        <v>6</v>
      </c>
      <c r="D21" t="s">
        <v>489</v>
      </c>
      <c r="E21" t="s">
        <v>435</v>
      </c>
      <c r="F21" t="s">
        <v>218</v>
      </c>
      <c r="G21" t="s">
        <v>294</v>
      </c>
      <c r="H21" t="s">
        <v>490</v>
      </c>
      <c r="I21" t="s">
        <v>491</v>
      </c>
    </row>
    <row r="22" spans="1:9" x14ac:dyDescent="0.25">
      <c r="A22" t="str">
        <f t="shared" si="0"/>
        <v>2026-w6-larry-wright-win-it-at-the-line-award</v>
      </c>
      <c r="B22">
        <v>2026</v>
      </c>
      <c r="C22">
        <v>6</v>
      </c>
      <c r="D22" t="s">
        <v>502</v>
      </c>
      <c r="E22" t="s">
        <v>486</v>
      </c>
      <c r="F22" t="s">
        <v>215</v>
      </c>
      <c r="G22" t="s">
        <v>294</v>
      </c>
      <c r="H22" t="s">
        <v>487</v>
      </c>
      <c r="I22" t="s">
        <v>488</v>
      </c>
    </row>
    <row r="23" spans="1:9" x14ac:dyDescent="0.25">
      <c r="A23" t="str">
        <f t="shared" si="0"/>
        <v>2026-w6-sharpshooter-award</v>
      </c>
      <c r="B23">
        <v>2026</v>
      </c>
      <c r="C23">
        <v>6</v>
      </c>
      <c r="D23" t="s">
        <v>454</v>
      </c>
      <c r="E23" t="s">
        <v>503</v>
      </c>
      <c r="F23" t="s">
        <v>225</v>
      </c>
      <c r="G23" t="s">
        <v>295</v>
      </c>
      <c r="H23" t="s">
        <v>440</v>
      </c>
      <c r="I23" t="s">
        <v>504</v>
      </c>
    </row>
    <row r="24" spans="1:9" x14ac:dyDescent="0.25">
      <c r="A24" t="str">
        <f t="shared" si="0"/>
        <v>2026-w6-no-supporting-cast-award</v>
      </c>
      <c r="B24">
        <v>2026</v>
      </c>
      <c r="C24">
        <v>6</v>
      </c>
      <c r="D24" t="s">
        <v>505</v>
      </c>
      <c r="E24" t="s">
        <v>439</v>
      </c>
      <c r="F24" t="s">
        <v>253</v>
      </c>
      <c r="G24" t="s">
        <v>298</v>
      </c>
      <c r="H24" t="s">
        <v>506</v>
      </c>
      <c r="I24" t="s">
        <v>507</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0274709-97AA-47FB-A680-BC59385B14DE}">
          <x14:formula1>
            <xm:f>players!$A$2:$A$84</xm:f>
          </x14:formula1>
          <xm:sqref>F2:F1048576</xm:sqref>
        </x14:dataValidation>
        <x14:dataValidation type="list" allowBlank="1" showInputMessage="1" showErrorMessage="1" xr:uid="{A11FA594-6D64-461D-BC9B-9241753594C1}">
          <x14:formula1>
            <xm:f>seasonTeams!$C$2:$C$9</xm:f>
          </x14:formula1>
          <xm:sqref>G2:G1048576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66681-F5DC-48E6-9127-B2506479B8A4}">
  <dimension ref="A1:G1"/>
  <sheetViews>
    <sheetView workbookViewId="0">
      <selection activeCell="E1" sqref="E1"/>
    </sheetView>
  </sheetViews>
  <sheetFormatPr defaultColWidth="47" defaultRowHeight="15" x14ac:dyDescent="0.25"/>
  <cols>
    <col min="1" max="1" width="12.5703125" customWidth="1"/>
    <col min="3" max="3" width="13.28515625" customWidth="1"/>
    <col min="6" max="6" width="32.85546875" customWidth="1"/>
  </cols>
  <sheetData>
    <row r="1" spans="1:7" x14ac:dyDescent="0.25">
      <c r="A1" t="s">
        <v>62</v>
      </c>
      <c r="B1" t="s">
        <v>63</v>
      </c>
      <c r="C1" t="s">
        <v>72</v>
      </c>
      <c r="D1" t="s">
        <v>64</v>
      </c>
      <c r="E1" t="s">
        <v>68</v>
      </c>
      <c r="F1" t="s">
        <v>66</v>
      </c>
      <c r="G1" t="s">
        <v>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8833C-DF1E-4B2C-BBFB-C38E29D81A53}">
  <dimension ref="A1:A7"/>
  <sheetViews>
    <sheetView workbookViewId="0">
      <selection activeCell="C28" sqref="C28"/>
    </sheetView>
  </sheetViews>
  <sheetFormatPr defaultRowHeight="15" x14ac:dyDescent="0.25"/>
  <cols>
    <col min="1" max="1" width="110" customWidth="1"/>
  </cols>
  <sheetData>
    <row r="1" spans="1:1" ht="18.75" x14ac:dyDescent="0.25">
      <c r="A1" s="5" t="s">
        <v>367</v>
      </c>
    </row>
    <row r="2" spans="1:1" x14ac:dyDescent="0.25">
      <c r="A2" s="4" t="s">
        <v>366</v>
      </c>
    </row>
    <row r="3" spans="1:1" x14ac:dyDescent="0.25">
      <c r="A3" s="4" t="s">
        <v>365</v>
      </c>
    </row>
    <row r="4" spans="1:1" x14ac:dyDescent="0.25">
      <c r="A4" s="4" t="s">
        <v>364</v>
      </c>
    </row>
    <row r="5" spans="1:1" x14ac:dyDescent="0.25">
      <c r="A5" s="4" t="s">
        <v>363</v>
      </c>
    </row>
    <row r="6" spans="1:1" x14ac:dyDescent="0.25">
      <c r="A6" s="4" t="s">
        <v>362</v>
      </c>
    </row>
    <row r="7" spans="1:1" x14ac:dyDescent="0.25">
      <c r="A7" s="4" t="s">
        <v>361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278C3-A595-4621-B40B-532C0C4AFF13}">
  <dimension ref="A1:J8"/>
  <sheetViews>
    <sheetView workbookViewId="0">
      <selection activeCell="J5" sqref="J5"/>
    </sheetView>
  </sheetViews>
  <sheetFormatPr defaultRowHeight="15" x14ac:dyDescent="0.25"/>
  <sheetData>
    <row r="1" spans="1:10" x14ac:dyDescent="0.25">
      <c r="A1" t="s">
        <v>10</v>
      </c>
      <c r="D1" t="s">
        <v>19</v>
      </c>
      <c r="F1" s="3">
        <v>0.77083333333333337</v>
      </c>
      <c r="H1" t="s">
        <v>36</v>
      </c>
      <c r="J1" t="s">
        <v>310</v>
      </c>
    </row>
    <row r="2" spans="1:10" x14ac:dyDescent="0.25">
      <c r="A2" t="s">
        <v>11</v>
      </c>
      <c r="D2" t="s">
        <v>18</v>
      </c>
      <c r="F2" s="3">
        <v>0.8125</v>
      </c>
      <c r="H2" t="s">
        <v>37</v>
      </c>
      <c r="J2" t="s">
        <v>311</v>
      </c>
    </row>
    <row r="3" spans="1:10" x14ac:dyDescent="0.25">
      <c r="A3" t="s">
        <v>12</v>
      </c>
      <c r="D3" t="s">
        <v>20</v>
      </c>
      <c r="F3" s="3">
        <v>0.85416666666666663</v>
      </c>
      <c r="H3" t="s">
        <v>38</v>
      </c>
      <c r="J3" t="s">
        <v>312</v>
      </c>
    </row>
    <row r="4" spans="1:10" x14ac:dyDescent="0.25">
      <c r="A4" t="s">
        <v>13</v>
      </c>
      <c r="D4" t="s">
        <v>21</v>
      </c>
    </row>
    <row r="5" spans="1:10" x14ac:dyDescent="0.25">
      <c r="A5" t="s">
        <v>14</v>
      </c>
    </row>
    <row r="6" spans="1:10" x14ac:dyDescent="0.25">
      <c r="A6" t="s">
        <v>15</v>
      </c>
    </row>
    <row r="7" spans="1:10" x14ac:dyDescent="0.25">
      <c r="A7" t="s">
        <v>16</v>
      </c>
    </row>
    <row r="8" spans="1:10" x14ac:dyDescent="0.25">
      <c r="A8"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seasons</vt:lpstr>
      <vt:lpstr>teams</vt:lpstr>
      <vt:lpstr>seasonTeams</vt:lpstr>
      <vt:lpstr>players</vt:lpstr>
      <vt:lpstr>rosterSpots</vt:lpstr>
      <vt:lpstr>games</vt:lpstr>
      <vt:lpstr>playerGameStats</vt:lpstr>
      <vt:lpstr>weeklyAwards</vt:lpstr>
      <vt:lpstr>seasonAwards</vt:lpstr>
      <vt:lpstr>README_playerGameStats</vt:lpstr>
      <vt:lpstr>selection_values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Ricciardelli</dc:creator>
  <cp:lastModifiedBy>Ryan Ricciardelli</cp:lastModifiedBy>
  <dcterms:created xsi:type="dcterms:W3CDTF">2015-06-05T18:17:20Z</dcterms:created>
  <dcterms:modified xsi:type="dcterms:W3CDTF">2026-06-05T16:40:55Z</dcterms:modified>
</cp:coreProperties>
</file>
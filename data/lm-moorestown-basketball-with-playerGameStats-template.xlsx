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dev\lm-moorestown-basketball\data\"/>
    </mc:Choice>
  </mc:AlternateContent>
  <xr:revisionPtr revIDLastSave="0" documentId="13_ncr:1_{0828EA18-B69F-4FB9-B390-8676664107B3}" xr6:coauthVersionLast="47" xr6:coauthVersionMax="47" xr10:uidLastSave="{00000000-0000-0000-0000-000000000000}"/>
  <bookViews>
    <workbookView xWindow="28680" yWindow="-120" windowWidth="29040" windowHeight="15720" firstSheet="3" activeTab="8" xr2:uid="{00000000-000D-0000-FFFF-FFFF00000000}"/>
  </bookViews>
  <sheets>
    <sheet name="seasons" sheetId="1" r:id="rId1"/>
    <sheet name="teams" sheetId="2" r:id="rId2"/>
    <sheet name="seasonTeams" sheetId="3" r:id="rId3"/>
    <sheet name="players" sheetId="4" r:id="rId4"/>
    <sheet name="rosterSpots" sheetId="5" r:id="rId5"/>
    <sheet name="games" sheetId="6" r:id="rId6"/>
    <sheet name="weeklyAwards" sheetId="7" r:id="rId7"/>
    <sheet name="seasonAwards" sheetId="8" r:id="rId8"/>
    <sheet name="selection_values" sheetId="9" r:id="rId9"/>
  </sheets>
  <definedNames>
    <definedName name="_xlnm._FilterDatabase" localSheetId="5" hidden="1">games!$A$1:$T$41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1" i="6" l="1"/>
  <c r="A40" i="6"/>
  <c r="A39" i="6"/>
  <c r="A38" i="6"/>
  <c r="A37" i="6"/>
  <c r="A36" i="6"/>
  <c r="A35" i="6"/>
  <c r="A34" i="6"/>
  <c r="A33" i="6"/>
  <c r="A32" i="6"/>
  <c r="A31" i="6"/>
  <c r="A30" i="6"/>
  <c r="A29" i="6"/>
  <c r="A28" i="6"/>
  <c r="A27" i="6"/>
  <c r="A26" i="6"/>
  <c r="A25" i="6"/>
  <c r="A24" i="6"/>
  <c r="A23" i="6"/>
  <c r="A22" i="6"/>
  <c r="A21" i="6"/>
  <c r="A20" i="6"/>
  <c r="A19" i="6"/>
  <c r="A18" i="6"/>
  <c r="A17" i="6"/>
  <c r="A16" i="6"/>
  <c r="A15" i="6"/>
  <c r="A14" i="6"/>
  <c r="A13" i="6"/>
  <c r="A12" i="6"/>
  <c r="A11" i="6"/>
  <c r="A10" i="6"/>
  <c r="A9" i="6"/>
  <c r="A8" i="6"/>
  <c r="A7" i="6"/>
  <c r="A6" i="6"/>
  <c r="A5" i="6"/>
  <c r="A4" i="6"/>
  <c r="A3" i="6"/>
  <c r="A2" i="6"/>
  <c r="D83" i="4"/>
  <c r="A83" i="4"/>
  <c r="D82" i="4"/>
  <c r="A82" i="4"/>
  <c r="D81" i="4"/>
  <c r="A81" i="4"/>
  <c r="D80" i="4"/>
  <c r="A80" i="4"/>
  <c r="D79" i="4"/>
  <c r="A79" i="4"/>
  <c r="D78" i="4"/>
  <c r="A78" i="4"/>
  <c r="D77" i="4"/>
  <c r="A77" i="4"/>
  <c r="D76" i="4"/>
  <c r="A76" i="4"/>
  <c r="D75" i="4"/>
  <c r="A75" i="4"/>
  <c r="D74" i="4"/>
  <c r="A74" i="4"/>
  <c r="D73" i="4"/>
  <c r="A73" i="4"/>
  <c r="D72" i="4"/>
  <c r="A72" i="4"/>
  <c r="D71" i="4"/>
  <c r="A71" i="4"/>
  <c r="D70" i="4"/>
  <c r="A70" i="4"/>
  <c r="D69" i="4"/>
  <c r="A69" i="4"/>
  <c r="D68" i="4"/>
  <c r="A68" i="4"/>
  <c r="D67" i="4"/>
  <c r="A67" i="4"/>
  <c r="D66" i="4"/>
  <c r="A66" i="4"/>
  <c r="D65" i="4"/>
  <c r="A65" i="4"/>
  <c r="D64" i="4"/>
  <c r="A64" i="4"/>
  <c r="D63" i="4"/>
  <c r="A63" i="4"/>
  <c r="D62" i="4"/>
  <c r="A62" i="4"/>
  <c r="D61" i="4"/>
  <c r="A61" i="4"/>
  <c r="D60" i="4"/>
  <c r="A60" i="4"/>
  <c r="D59" i="4"/>
  <c r="A59" i="4"/>
  <c r="D58" i="4"/>
  <c r="A58" i="4"/>
  <c r="D57" i="4"/>
  <c r="A57" i="4"/>
  <c r="D56" i="4"/>
  <c r="A56" i="4"/>
  <c r="D55" i="4"/>
  <c r="A55" i="4"/>
  <c r="D54" i="4"/>
  <c r="A54" i="4"/>
  <c r="D53" i="4"/>
  <c r="A53" i="4"/>
  <c r="D52" i="4"/>
  <c r="A52" i="4"/>
  <c r="D51" i="4"/>
  <c r="A51" i="4"/>
  <c r="D50" i="4"/>
  <c r="A50" i="4"/>
  <c r="D49" i="4"/>
  <c r="A49" i="4"/>
  <c r="D48" i="4"/>
  <c r="A48" i="4"/>
  <c r="D47" i="4"/>
  <c r="A47" i="4"/>
  <c r="D46" i="4"/>
  <c r="A46" i="4"/>
  <c r="D45" i="4"/>
  <c r="A45" i="4"/>
  <c r="D44" i="4"/>
  <c r="A44" i="4"/>
  <c r="D43" i="4"/>
  <c r="A43" i="4"/>
  <c r="D42" i="4"/>
  <c r="A42" i="4"/>
  <c r="D41" i="4"/>
  <c r="A41" i="4"/>
  <c r="D40" i="4"/>
  <c r="A40" i="4"/>
  <c r="D39" i="4"/>
  <c r="A39" i="4"/>
  <c r="D38" i="4"/>
  <c r="A38" i="4"/>
  <c r="D37" i="4"/>
  <c r="A37" i="4"/>
  <c r="D36" i="4"/>
  <c r="A36" i="4"/>
  <c r="D35" i="4"/>
  <c r="A35" i="4"/>
  <c r="D34" i="4"/>
  <c r="A34" i="4"/>
  <c r="D33" i="4"/>
  <c r="A33" i="4"/>
  <c r="D32" i="4"/>
  <c r="A32" i="4"/>
  <c r="D31" i="4"/>
  <c r="A31" i="4"/>
  <c r="D30" i="4"/>
  <c r="A30" i="4"/>
  <c r="D29" i="4"/>
  <c r="A29" i="4"/>
  <c r="D28" i="4"/>
  <c r="A28" i="4"/>
  <c r="D27" i="4"/>
  <c r="A27" i="4"/>
  <c r="D26" i="4"/>
  <c r="A26" i="4"/>
  <c r="D25" i="4"/>
  <c r="A25" i="4"/>
  <c r="D24" i="4"/>
  <c r="A24" i="4"/>
  <c r="D23" i="4"/>
  <c r="A23" i="4"/>
  <c r="D22" i="4"/>
  <c r="A22" i="4"/>
  <c r="D21" i="4"/>
  <c r="A21" i="4"/>
  <c r="D20" i="4"/>
  <c r="A20" i="4"/>
  <c r="D19" i="4"/>
  <c r="A19" i="4"/>
  <c r="D18" i="4"/>
  <c r="A18" i="4"/>
  <c r="D17" i="4"/>
  <c r="A17" i="4"/>
  <c r="D16" i="4"/>
  <c r="A16" i="4"/>
  <c r="D15" i="4"/>
  <c r="A15" i="4"/>
  <c r="D14" i="4"/>
  <c r="A14" i="4"/>
  <c r="D13" i="4"/>
  <c r="A13" i="4"/>
  <c r="D12" i="4"/>
  <c r="A12" i="4"/>
  <c r="D11" i="4"/>
  <c r="A11" i="4"/>
  <c r="D10" i="4"/>
  <c r="A10" i="4"/>
  <c r="D9" i="4"/>
  <c r="A9" i="4"/>
  <c r="D8" i="4"/>
  <c r="A8" i="4"/>
  <c r="D7" i="4"/>
  <c r="A7" i="4"/>
  <c r="D6" i="4"/>
  <c r="A6" i="4"/>
  <c r="D5" i="4"/>
  <c r="A5" i="4"/>
  <c r="D4" i="4"/>
  <c r="A4" i="4"/>
  <c r="D3" i="4"/>
  <c r="A3" i="4"/>
  <c r="D2" i="4"/>
  <c r="A2" i="4"/>
  <c r="C9" i="3"/>
  <c r="C8" i="3"/>
  <c r="C7" i="3"/>
  <c r="C6" i="3"/>
  <c r="C5" i="3"/>
  <c r="C4" i="3"/>
  <c r="C3" i="3"/>
  <c r="C2" i="3"/>
</calcChain>
</file>

<file path=xl/sharedStrings.xml><?xml version="1.0" encoding="utf-8"?>
<sst xmlns="http://schemas.openxmlformats.org/spreadsheetml/2006/main" count="767" uniqueCount="317">
  <si>
    <t>seasonId</t>
  </si>
  <si>
    <t>seasonName</t>
  </si>
  <si>
    <t>year</t>
  </si>
  <si>
    <t>isActive</t>
  </si>
  <si>
    <t>2026 Season</t>
  </si>
  <si>
    <t>2025 Season</t>
  </si>
  <si>
    <t>teamId</t>
  </si>
  <si>
    <t>teamName</t>
  </si>
  <si>
    <t>primaryColor</t>
  </si>
  <si>
    <t>secondaryColor</t>
  </si>
  <si>
    <t>ball-starz</t>
  </si>
  <si>
    <t>Ball Starz</t>
  </si>
  <si>
    <t>#000000</t>
  </si>
  <si>
    <t>#FFFFFF</t>
  </si>
  <si>
    <t>lmba-jam</t>
  </si>
  <si>
    <t>LMBA Jam</t>
  </si>
  <si>
    <t>#7DD3FC</t>
  </si>
  <si>
    <t>#0F172A</t>
  </si>
  <si>
    <t>thrillers</t>
  </si>
  <si>
    <t>Thrillers</t>
  </si>
  <si>
    <t>#2563EB</t>
  </si>
  <si>
    <t>trust-the-process</t>
  </si>
  <si>
    <t>Trust The Process</t>
  </si>
  <si>
    <t>#FACC15</t>
  </si>
  <si>
    <t>#111827</t>
  </si>
  <si>
    <t>department-of-offense</t>
  </si>
  <si>
    <t>Department of Offense</t>
  </si>
  <si>
    <t>#16A34A</t>
  </si>
  <si>
    <t>prestige-worldwide</t>
  </si>
  <si>
    <t>Prestige Worldwide</t>
  </si>
  <si>
    <t>#7F1D1D</t>
  </si>
  <si>
    <t>#F8FAFC</t>
  </si>
  <si>
    <t>hash-slinging-slashers</t>
  </si>
  <si>
    <t>Hash-Slinging Slashers</t>
  </si>
  <si>
    <t>#EA580C</t>
  </si>
  <si>
    <t>free-agent-team</t>
  </si>
  <si>
    <t>Free Agent Team</t>
  </si>
  <si>
    <t>#DC2626</t>
  </si>
  <si>
    <t>seasonTeamId</t>
  </si>
  <si>
    <t>captainPlayerId</t>
  </si>
  <si>
    <t>manualStandingRank</t>
  </si>
  <si>
    <t>ryan-fontanazza</t>
  </si>
  <si>
    <t>chris-clemente</t>
  </si>
  <si>
    <t>connor-stine</t>
  </si>
  <si>
    <t>kyle-ginter</t>
  </si>
  <si>
    <t>eli-ratliff</t>
  </si>
  <si>
    <t>david-hays</t>
  </si>
  <si>
    <t>connor-thomas</t>
  </si>
  <si>
    <t>jordan-williams</t>
  </si>
  <si>
    <t>playerId</t>
  </si>
  <si>
    <t>firstName</t>
  </si>
  <si>
    <t>lastName</t>
  </si>
  <si>
    <t>displayName</t>
  </si>
  <si>
    <t>Ryan</t>
  </si>
  <si>
    <t>Fontanazza</t>
  </si>
  <si>
    <t>Ricciardelli</t>
  </si>
  <si>
    <t>Sean</t>
  </si>
  <si>
    <t>Denson</t>
  </si>
  <si>
    <t>Guy</t>
  </si>
  <si>
    <t>Johnson</t>
  </si>
  <si>
    <t>Maloney</t>
  </si>
  <si>
    <t>Chapman</t>
  </si>
  <si>
    <t>Dom</t>
  </si>
  <si>
    <t>Sepko</t>
  </si>
  <si>
    <t>Matt</t>
  </si>
  <si>
    <t>Morini</t>
  </si>
  <si>
    <t>Clayton</t>
  </si>
  <si>
    <t>Kunzweiler</t>
  </si>
  <si>
    <t>MJ</t>
  </si>
  <si>
    <t>Pierre</t>
  </si>
  <si>
    <t>Chris</t>
  </si>
  <si>
    <t>Clemente</t>
  </si>
  <si>
    <t>Mike</t>
  </si>
  <si>
    <t>Ziller</t>
  </si>
  <si>
    <t>Dave</t>
  </si>
  <si>
    <t>Homsher</t>
  </si>
  <si>
    <t>Scott</t>
  </si>
  <si>
    <t>Brusseler</t>
  </si>
  <si>
    <t>Anthony</t>
  </si>
  <si>
    <t>Shelepets</t>
  </si>
  <si>
    <t>Angel</t>
  </si>
  <si>
    <t>Carrion</t>
  </si>
  <si>
    <t>Gates</t>
  </si>
  <si>
    <t>Brooks</t>
  </si>
  <si>
    <t>Patrick</t>
  </si>
  <si>
    <t>Bellino</t>
  </si>
  <si>
    <t>Dylan</t>
  </si>
  <si>
    <t>Meyler</t>
  </si>
  <si>
    <t>Brendan</t>
  </si>
  <si>
    <t>Thomas</t>
  </si>
  <si>
    <t>Nasto</t>
  </si>
  <si>
    <t>Kyle</t>
  </si>
  <si>
    <t>Ginter</t>
  </si>
  <si>
    <t>Jeff</t>
  </si>
  <si>
    <t>Savage</t>
  </si>
  <si>
    <t>Zach</t>
  </si>
  <si>
    <t>Rollman</t>
  </si>
  <si>
    <t>Derin</t>
  </si>
  <si>
    <t>Sweeney</t>
  </si>
  <si>
    <t>Hakim</t>
  </si>
  <si>
    <t>Jackson</t>
  </si>
  <si>
    <t>Kevin</t>
  </si>
  <si>
    <t>Tierney</t>
  </si>
  <si>
    <t>Brian</t>
  </si>
  <si>
    <t>Clemens</t>
  </si>
  <si>
    <t>Jordan</t>
  </si>
  <si>
    <t>Wilcox</t>
  </si>
  <si>
    <t>Donald</t>
  </si>
  <si>
    <t>Owens</t>
  </si>
  <si>
    <t>Eli</t>
  </si>
  <si>
    <t>Ratliff</t>
  </si>
  <si>
    <t>Deven</t>
  </si>
  <si>
    <t>Cobb</t>
  </si>
  <si>
    <t>Niko</t>
  </si>
  <si>
    <t>Balis</t>
  </si>
  <si>
    <t>Donte</t>
  </si>
  <si>
    <t>Diggs</t>
  </si>
  <si>
    <t>Grant</t>
  </si>
  <si>
    <t>Clark</t>
  </si>
  <si>
    <t>Ellis</t>
  </si>
  <si>
    <t>Jason</t>
  </si>
  <si>
    <t>Kenny</t>
  </si>
  <si>
    <t>Kelly</t>
  </si>
  <si>
    <t>Lane</t>
  </si>
  <si>
    <t>Kennedy</t>
  </si>
  <si>
    <t>Marone</t>
  </si>
  <si>
    <t>Doug</t>
  </si>
  <si>
    <t>Adams</t>
  </si>
  <si>
    <t>Kelechi</t>
  </si>
  <si>
    <t>Madu</t>
  </si>
  <si>
    <t>Connor</t>
  </si>
  <si>
    <t>Stine</t>
  </si>
  <si>
    <t>Sragvi</t>
  </si>
  <si>
    <t>Tirumala</t>
  </si>
  <si>
    <t>Janos</t>
  </si>
  <si>
    <t>Vajda</t>
  </si>
  <si>
    <t>Brett</t>
  </si>
  <si>
    <t>Allen</t>
  </si>
  <si>
    <t>Harley</t>
  </si>
  <si>
    <t>Manthan</t>
  </si>
  <si>
    <t>Tailor</t>
  </si>
  <si>
    <t>Ricky</t>
  </si>
  <si>
    <t>Riaz</t>
  </si>
  <si>
    <t>Holm</t>
  </si>
  <si>
    <t>Jack</t>
  </si>
  <si>
    <t>Bauman</t>
  </si>
  <si>
    <t>Ben</t>
  </si>
  <si>
    <t>Golden</t>
  </si>
  <si>
    <t>Ian</t>
  </si>
  <si>
    <t>McCaw</t>
  </si>
  <si>
    <t>Keshon</t>
  </si>
  <si>
    <t>Coleman</t>
  </si>
  <si>
    <t>Bassang</t>
  </si>
  <si>
    <t>Atoulelou</t>
  </si>
  <si>
    <t>Case</t>
  </si>
  <si>
    <t>Guenette</t>
  </si>
  <si>
    <t>Lynen</t>
  </si>
  <si>
    <t>Courtney</t>
  </si>
  <si>
    <t>Cubbage</t>
  </si>
  <si>
    <t>Bryce</t>
  </si>
  <si>
    <t>Meredith</t>
  </si>
  <si>
    <t>Travis</t>
  </si>
  <si>
    <t>Gibbs</t>
  </si>
  <si>
    <t>David</t>
  </si>
  <si>
    <t>Hays</t>
  </si>
  <si>
    <t>Kasper</t>
  </si>
  <si>
    <t>Carroll</t>
  </si>
  <si>
    <t>Douglas</t>
  </si>
  <si>
    <t>Alexander</t>
  </si>
  <si>
    <t>Jose</t>
  </si>
  <si>
    <t>Toledo</t>
  </si>
  <si>
    <t>Russel</t>
  </si>
  <si>
    <t>Verceles</t>
  </si>
  <si>
    <t>Tommy</t>
  </si>
  <si>
    <t>Zheng</t>
  </si>
  <si>
    <t>Guillermo</t>
  </si>
  <si>
    <t>Jacquez</t>
  </si>
  <si>
    <t>Williams</t>
  </si>
  <si>
    <t>Ebrahim</t>
  </si>
  <si>
    <t>Mohamed</t>
  </si>
  <si>
    <t>Raeid</t>
  </si>
  <si>
    <t>Choudhury</t>
  </si>
  <si>
    <t>Blasiak</t>
  </si>
  <si>
    <t>Phil</t>
  </si>
  <si>
    <t>Chenard</t>
  </si>
  <si>
    <t>Vanardo</t>
  </si>
  <si>
    <t>Banks</t>
  </si>
  <si>
    <t>McAndrew</t>
  </si>
  <si>
    <t>Cray</t>
  </si>
  <si>
    <t>Cordero</t>
  </si>
  <si>
    <t>Nkenna</t>
  </si>
  <si>
    <t>Opara</t>
  </si>
  <si>
    <t>Junior</t>
  </si>
  <si>
    <t>Peralta</t>
  </si>
  <si>
    <t>Jossell</t>
  </si>
  <si>
    <t>De Coteau</t>
  </si>
  <si>
    <t>jerseyNumber</t>
  </si>
  <si>
    <t>2026-ball-starz</t>
  </si>
  <si>
    <t>ryan-ricciardelli</t>
  </si>
  <si>
    <t>sean-denson</t>
  </si>
  <si>
    <t>guy-johnson</t>
  </si>
  <si>
    <t>ryan-maloney</t>
  </si>
  <si>
    <t>ryan-chapman</t>
  </si>
  <si>
    <t>dom-sepko</t>
  </si>
  <si>
    <t>matt-morini</t>
  </si>
  <si>
    <t>clayton-kunzweiler</t>
  </si>
  <si>
    <t>mj-pierre</t>
  </si>
  <si>
    <t>2026-lmba-jam</t>
  </si>
  <si>
    <t>mike-ziller</t>
  </si>
  <si>
    <t>dave-homsher</t>
  </si>
  <si>
    <t>scott-brusseler</t>
  </si>
  <si>
    <t>anthony-shelepets</t>
  </si>
  <si>
    <t>angel-carrion</t>
  </si>
  <si>
    <t>gates-brooks</t>
  </si>
  <si>
    <t>patrick-bellino</t>
  </si>
  <si>
    <t>dylan-meyler</t>
  </si>
  <si>
    <t>brendan-scott</t>
  </si>
  <si>
    <t>thomas-nasto</t>
  </si>
  <si>
    <t>2026-trust-the-process</t>
  </si>
  <si>
    <t>jeff-savage</t>
  </si>
  <si>
    <t>zach-rollman</t>
  </si>
  <si>
    <t>derin-sweeney</t>
  </si>
  <si>
    <t>hakim-jackson</t>
  </si>
  <si>
    <t>kevin-tierney</t>
  </si>
  <si>
    <t>brian-clemens</t>
  </si>
  <si>
    <t>jordan-wilcox</t>
  </si>
  <si>
    <t>donald-owens</t>
  </si>
  <si>
    <t>2026-department-of-offense</t>
  </si>
  <si>
    <t>deven-cobb</t>
  </si>
  <si>
    <t>niko-balis</t>
  </si>
  <si>
    <t>donte-diggs</t>
  </si>
  <si>
    <t>grant-clark</t>
  </si>
  <si>
    <t>chris-ellis</t>
  </si>
  <si>
    <t>jason-kenny</t>
  </si>
  <si>
    <t>kyle-kelly</t>
  </si>
  <si>
    <t>sean-lane</t>
  </si>
  <si>
    <t>chris-kennedy</t>
  </si>
  <si>
    <t>anthony-marone</t>
  </si>
  <si>
    <t>2026-thrillers</t>
  </si>
  <si>
    <t>doug-adams</t>
  </si>
  <si>
    <t>kelechi-madu</t>
  </si>
  <si>
    <t>sragvi-tirumala</t>
  </si>
  <si>
    <t>janos-vajda</t>
  </si>
  <si>
    <t>brett-ziller</t>
  </si>
  <si>
    <t>allen-harley</t>
  </si>
  <si>
    <t>manthan-tailor</t>
  </si>
  <si>
    <t>ricky-riaz</t>
  </si>
  <si>
    <t>2026-hash-slinging-slashers</t>
  </si>
  <si>
    <t>connor-holm</t>
  </si>
  <si>
    <t>jack-bauman</t>
  </si>
  <si>
    <t>ben-golden</t>
  </si>
  <si>
    <t>ian-mccaw</t>
  </si>
  <si>
    <t>keshon-coleman</t>
  </si>
  <si>
    <t>bassang-atoulelou</t>
  </si>
  <si>
    <t>case-guenette</t>
  </si>
  <si>
    <t>thomas-lynen</t>
  </si>
  <si>
    <t>courtney-cubbage</t>
  </si>
  <si>
    <t>bryce-meredith</t>
  </si>
  <si>
    <t>2026-prestige-worldwide</t>
  </si>
  <si>
    <t>travis-gibbs</t>
  </si>
  <si>
    <t>thomas-hays</t>
  </si>
  <si>
    <t>matt-kasper</t>
  </si>
  <si>
    <t>kevin-carroll</t>
  </si>
  <si>
    <t>douglas-alexander</t>
  </si>
  <si>
    <t>jose-toledo</t>
  </si>
  <si>
    <t>russel-verceles</t>
  </si>
  <si>
    <t>tommy-zheng</t>
  </si>
  <si>
    <t>guillermo-jacquez</t>
  </si>
  <si>
    <t>2026-free-agent-team</t>
  </si>
  <si>
    <t>ebrahim-mohamed</t>
  </si>
  <si>
    <t>raeid-choudhury</t>
  </si>
  <si>
    <t>grant-blasiak</t>
  </si>
  <si>
    <t>phil-chenard</t>
  </si>
  <si>
    <t>vanardo-banks</t>
  </si>
  <si>
    <t>sean-mcandrew</t>
  </si>
  <si>
    <t>cray-cordero</t>
  </si>
  <si>
    <t>nkenna-opara</t>
  </si>
  <si>
    <t>junior-peralta</t>
  </si>
  <si>
    <t>jossell-de-coteau</t>
  </si>
  <si>
    <t>gameId</t>
  </si>
  <si>
    <t>gameType</t>
  </si>
  <si>
    <t>week</t>
  </si>
  <si>
    <t>date</t>
  </si>
  <si>
    <t>time</t>
  </si>
  <si>
    <t>location</t>
  </si>
  <si>
    <t>homeTeamId</t>
  </si>
  <si>
    <t>awayTeamId</t>
  </si>
  <si>
    <t>firstHalfHomeScore</t>
  </si>
  <si>
    <t>firstHalfAwayScore</t>
  </si>
  <si>
    <t>secondHalfHomeScore</t>
  </si>
  <si>
    <t>secondHalfAwayScore</t>
  </si>
  <si>
    <t>homeScore</t>
  </si>
  <si>
    <t>awayScore</t>
  </si>
  <si>
    <t>overtimePeriods</t>
  </si>
  <si>
    <t>status</t>
  </si>
  <si>
    <t>resultType</t>
  </si>
  <si>
    <t>headline</t>
  </si>
  <si>
    <t>recapTeaser</t>
  </si>
  <si>
    <t>regularSeason</t>
  </si>
  <si>
    <t>Moorestown Upper Elementary</t>
  </si>
  <si>
    <t>final</t>
  </si>
  <si>
    <t>normal</t>
  </si>
  <si>
    <t>Ball Starz Get Revenge In Championship Rematch Behind Guy Johnson’s 23</t>
  </si>
  <si>
    <t>Opening Night delivered an instant playoff-caliber showdown as Ball Starz knocked off defending champion LMBA Jam in a rematch of last season’s title game. Reigning MVP Guy Johnson led the charge with 23 points to help Ball Starz start 2026 with an early statement win.</t>
  </si>
  <si>
    <t>Thrillers Storm Back From 10 Down Behind Adams And Ziller</t>
  </si>
  <si>
    <t>Thrillers erased a double-digit halftime deficit to steal a gritty 56-53 Opening Night win over Department of Offense. Doug Adams poured in 23 points while Brett Ziller added 12 as Thrillers closed the game with a dominant second-half rally.</t>
  </si>
  <si>
    <t>forfeitHome</t>
  </si>
  <si>
    <t>scheduled</t>
  </si>
  <si>
    <t>awardName</t>
  </si>
  <si>
    <t>title</t>
  </si>
  <si>
    <t>body</t>
  </si>
  <si>
    <t>rank</t>
  </si>
  <si>
    <t>playoffs</t>
  </si>
  <si>
    <t>postponed</t>
  </si>
  <si>
    <t>championship</t>
  </si>
  <si>
    <t>forfeitAway</t>
  </si>
  <si>
    <t>cancelled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</si>
</sst>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[$-409]h:mm\ AM/PM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workbookViewId="0"/>
  </sheetViews>
  <sheetFormatPr defaultRowHeight="15" x14ac:dyDescent="0.25"/>
  <cols>
    <col min="1" max="1" width="9" bestFit="1" customWidth="1"/>
    <col min="2" max="2" width="12.42578125" bestFit="1" customWidth="1"/>
    <col min="3" max="3" width="4.85546875" bestFit="1" customWidth="1"/>
    <col min="4" max="4" width="8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2026</v>
      </c>
      <c r="B2" t="s">
        <v>4</v>
      </c>
      <c r="C2">
        <v>2026</v>
      </c>
      <c r="D2" t="b">
        <v>1</v>
      </c>
    </row>
    <row r="3" spans="1:4" x14ac:dyDescent="0.25">
      <c r="A3">
        <v>2025</v>
      </c>
      <c r="B3" t="s">
        <v>5</v>
      </c>
      <c r="C3">
        <v>2025</v>
      </c>
      <c r="D3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workbookViewId="0"/>
  </sheetViews>
  <sheetFormatPr defaultColWidth="13.42578125" defaultRowHeight="15" x14ac:dyDescent="0.25"/>
  <cols>
    <col min="1" max="1" width="22.140625" bestFit="1" customWidth="1"/>
    <col min="2" max="2" width="23.85546875" customWidth="1"/>
    <col min="3" max="4" width="23.7109375" customWidth="1"/>
  </cols>
  <sheetData>
    <row r="1" spans="1:4" x14ac:dyDescent="0.25">
      <c r="A1" t="s">
        <v>6</v>
      </c>
      <c r="B1" t="s">
        <v>7</v>
      </c>
      <c r="C1" t="s">
        <v>8</v>
      </c>
      <c r="D1" t="s">
        <v>9</v>
      </c>
    </row>
    <row r="2" spans="1:4" x14ac:dyDescent="0.25">
      <c r="A2" t="s">
        <v>10</v>
      </c>
      <c r="B2" t="s">
        <v>11</v>
      </c>
      <c r="C2" t="s">
        <v>12</v>
      </c>
      <c r="D2" t="s">
        <v>13</v>
      </c>
    </row>
    <row r="3" spans="1:4" x14ac:dyDescent="0.25">
      <c r="A3" t="s">
        <v>14</v>
      </c>
      <c r="B3" t="s">
        <v>15</v>
      </c>
      <c r="C3" t="s">
        <v>16</v>
      </c>
      <c r="D3" t="s">
        <v>17</v>
      </c>
    </row>
    <row r="4" spans="1:4" x14ac:dyDescent="0.25">
      <c r="A4" t="s">
        <v>18</v>
      </c>
      <c r="B4" t="s">
        <v>19</v>
      </c>
      <c r="C4" t="s">
        <v>20</v>
      </c>
      <c r="D4" t="s">
        <v>13</v>
      </c>
    </row>
    <row r="5" spans="1:4" x14ac:dyDescent="0.25">
      <c r="A5" t="s">
        <v>21</v>
      </c>
      <c r="B5" t="s">
        <v>22</v>
      </c>
      <c r="C5" t="s">
        <v>23</v>
      </c>
      <c r="D5" t="s">
        <v>24</v>
      </c>
    </row>
    <row r="6" spans="1:4" x14ac:dyDescent="0.25">
      <c r="A6" t="s">
        <v>25</v>
      </c>
      <c r="B6" t="s">
        <v>26</v>
      </c>
      <c r="C6" t="s">
        <v>27</v>
      </c>
      <c r="D6" t="s">
        <v>13</v>
      </c>
    </row>
    <row r="7" spans="1:4" x14ac:dyDescent="0.25">
      <c r="A7" t="s">
        <v>28</v>
      </c>
      <c r="B7" t="s">
        <v>29</v>
      </c>
      <c r="C7" t="s">
        <v>30</v>
      </c>
      <c r="D7" t="s">
        <v>31</v>
      </c>
    </row>
    <row r="8" spans="1:4" x14ac:dyDescent="0.25">
      <c r="A8" t="s">
        <v>32</v>
      </c>
      <c r="B8" t="s">
        <v>33</v>
      </c>
      <c r="C8" t="s">
        <v>34</v>
      </c>
      <c r="D8" t="s">
        <v>24</v>
      </c>
    </row>
    <row r="9" spans="1:4" x14ac:dyDescent="0.25">
      <c r="A9" t="s">
        <v>35</v>
      </c>
      <c r="B9" t="s">
        <v>36</v>
      </c>
      <c r="C9" t="s">
        <v>37</v>
      </c>
      <c r="D9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"/>
  <sheetViews>
    <sheetView workbookViewId="0">
      <selection activeCell="D5" sqref="D5"/>
    </sheetView>
  </sheetViews>
  <sheetFormatPr defaultRowHeight="15" x14ac:dyDescent="0.25"/>
  <cols>
    <col min="2" max="2" width="22.140625" bestFit="1" customWidth="1"/>
    <col min="3" max="3" width="27" bestFit="1" customWidth="1"/>
    <col min="4" max="4" width="18.140625" customWidth="1"/>
    <col min="5" max="5" width="19.85546875" bestFit="1" customWidth="1"/>
  </cols>
  <sheetData>
    <row r="1" spans="1:5" x14ac:dyDescent="0.25">
      <c r="A1" t="s">
        <v>0</v>
      </c>
      <c r="B1" t="s">
        <v>6</v>
      </c>
      <c r="C1" t="s">
        <v>38</v>
      </c>
      <c r="D1" t="s">
        <v>39</v>
      </c>
      <c r="E1" t="s">
        <v>40</v>
      </c>
    </row>
    <row r="2" spans="1:5" x14ac:dyDescent="0.25">
      <c r="A2">
        <v>2026</v>
      </c>
      <c r="B2" t="s">
        <v>10</v>
      </c>
      <c r="C2" t="str">
        <f t="shared" ref="C2:C9" si="0">A2&amp;"-"&amp;B2</f>
        <v>2026-ball-starz</v>
      </c>
      <c r="D2" t="s">
        <v>41</v>
      </c>
    </row>
    <row r="3" spans="1:5" x14ac:dyDescent="0.25">
      <c r="A3">
        <v>2026</v>
      </c>
      <c r="B3" t="s">
        <v>14</v>
      </c>
      <c r="C3" t="str">
        <f t="shared" si="0"/>
        <v>2026-lmba-jam</v>
      </c>
      <c r="D3" t="s">
        <v>42</v>
      </c>
    </row>
    <row r="4" spans="1:5" x14ac:dyDescent="0.25">
      <c r="A4">
        <v>2026</v>
      </c>
      <c r="B4" t="s">
        <v>18</v>
      </c>
      <c r="C4" t="str">
        <f t="shared" si="0"/>
        <v>2026-thrillers</v>
      </c>
      <c r="D4" t="s">
        <v>43</v>
      </c>
    </row>
    <row r="5" spans="1:5" x14ac:dyDescent="0.25">
      <c r="A5">
        <v>2026</v>
      </c>
      <c r="B5" t="s">
        <v>21</v>
      </c>
      <c r="C5" t="str">
        <f t="shared" si="0"/>
        <v>2026-trust-the-process</v>
      </c>
      <c r="D5" t="s">
        <v>44</v>
      </c>
    </row>
    <row r="6" spans="1:5" x14ac:dyDescent="0.25">
      <c r="A6">
        <v>2026</v>
      </c>
      <c r="B6" t="s">
        <v>25</v>
      </c>
      <c r="C6" t="str">
        <f t="shared" si="0"/>
        <v>2026-department-of-offense</v>
      </c>
      <c r="D6" t="s">
        <v>45</v>
      </c>
    </row>
    <row r="7" spans="1:5" x14ac:dyDescent="0.25">
      <c r="A7">
        <v>2026</v>
      </c>
      <c r="B7" t="s">
        <v>28</v>
      </c>
      <c r="C7" t="str">
        <f t="shared" si="0"/>
        <v>2026-prestige-worldwide</v>
      </c>
      <c r="D7" t="s">
        <v>46</v>
      </c>
    </row>
    <row r="8" spans="1:5" x14ac:dyDescent="0.25">
      <c r="A8">
        <v>2026</v>
      </c>
      <c r="B8" t="s">
        <v>32</v>
      </c>
      <c r="C8" t="str">
        <f t="shared" si="0"/>
        <v>2026-hash-slinging-slashers</v>
      </c>
      <c r="D8" t="s">
        <v>47</v>
      </c>
    </row>
    <row r="9" spans="1:5" x14ac:dyDescent="0.25">
      <c r="A9">
        <v>2026</v>
      </c>
      <c r="B9" t="s">
        <v>35</v>
      </c>
      <c r="C9" t="str">
        <f t="shared" si="0"/>
        <v>2026-free-agent-team</v>
      </c>
      <c r="D9" t="s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83"/>
  <sheetViews>
    <sheetView workbookViewId="0">
      <selection activeCell="C22" sqref="C22"/>
    </sheetView>
  </sheetViews>
  <sheetFormatPr defaultColWidth="36.140625" defaultRowHeight="15" x14ac:dyDescent="0.25"/>
  <sheetData>
    <row r="1" spans="1:4" x14ac:dyDescent="0.25">
      <c r="A1" t="s">
        <v>49</v>
      </c>
      <c r="B1" t="s">
        <v>50</v>
      </c>
      <c r="C1" t="s">
        <v>51</v>
      </c>
      <c r="D1" t="s">
        <v>52</v>
      </c>
    </row>
    <row r="2" spans="1:4" x14ac:dyDescent="0.25">
      <c r="A2" t="str">
        <f t="shared" ref="A2:A33" si="0">LOWER(SUBSTITUTE(B2&amp;"-"&amp;C2," ","-"))</f>
        <v>ryan-fontanazza</v>
      </c>
      <c r="B2" t="s">
        <v>53</v>
      </c>
      <c r="C2" t="s">
        <v>54</v>
      </c>
      <c r="D2" t="str">
        <f t="shared" ref="D2:D33" si="1">B2&amp;" "&amp;C2</f>
        <v>Ryan Fontanazza</v>
      </c>
    </row>
    <row r="3" spans="1:4" x14ac:dyDescent="0.25">
      <c r="A3" t="str">
        <f t="shared" si="0"/>
        <v>ryan-ricciardelli</v>
      </c>
      <c r="B3" t="s">
        <v>53</v>
      </c>
      <c r="C3" t="s">
        <v>55</v>
      </c>
      <c r="D3" t="str">
        <f t="shared" si="1"/>
        <v>Ryan Ricciardelli</v>
      </c>
    </row>
    <row r="4" spans="1:4" x14ac:dyDescent="0.25">
      <c r="A4" t="str">
        <f t="shared" si="0"/>
        <v>sean-denson</v>
      </c>
      <c r="B4" t="s">
        <v>56</v>
      </c>
      <c r="C4" t="s">
        <v>57</v>
      </c>
      <c r="D4" t="str">
        <f t="shared" si="1"/>
        <v>Sean Denson</v>
      </c>
    </row>
    <row r="5" spans="1:4" x14ac:dyDescent="0.25">
      <c r="A5" t="str">
        <f t="shared" si="0"/>
        <v>guy-johnson</v>
      </c>
      <c r="B5" t="s">
        <v>58</v>
      </c>
      <c r="C5" t="s">
        <v>59</v>
      </c>
      <c r="D5" t="str">
        <f t="shared" si="1"/>
        <v>Guy Johnson</v>
      </c>
    </row>
    <row r="6" spans="1:4" x14ac:dyDescent="0.25">
      <c r="A6" t="str">
        <f t="shared" si="0"/>
        <v>ryan-maloney</v>
      </c>
      <c r="B6" t="s">
        <v>53</v>
      </c>
      <c r="C6" t="s">
        <v>60</v>
      </c>
      <c r="D6" t="str">
        <f t="shared" si="1"/>
        <v>Ryan Maloney</v>
      </c>
    </row>
    <row r="7" spans="1:4" x14ac:dyDescent="0.25">
      <c r="A7" t="str">
        <f t="shared" si="0"/>
        <v>ryan-chapman</v>
      </c>
      <c r="B7" t="s">
        <v>53</v>
      </c>
      <c r="C7" t="s">
        <v>61</v>
      </c>
      <c r="D7" t="str">
        <f t="shared" si="1"/>
        <v>Ryan Chapman</v>
      </c>
    </row>
    <row r="8" spans="1:4" x14ac:dyDescent="0.25">
      <c r="A8" t="str">
        <f t="shared" si="0"/>
        <v>dom-sepko</v>
      </c>
      <c r="B8" t="s">
        <v>62</v>
      </c>
      <c r="C8" t="s">
        <v>63</v>
      </c>
      <c r="D8" t="str">
        <f t="shared" si="1"/>
        <v>Dom Sepko</v>
      </c>
    </row>
    <row r="9" spans="1:4" x14ac:dyDescent="0.25">
      <c r="A9" t="str">
        <f t="shared" si="0"/>
        <v>matt-morini</v>
      </c>
      <c r="B9" t="s">
        <v>64</v>
      </c>
      <c r="C9" t="s">
        <v>65</v>
      </c>
      <c r="D9" t="str">
        <f t="shared" si="1"/>
        <v>Matt Morini</v>
      </c>
    </row>
    <row r="10" spans="1:4" x14ac:dyDescent="0.25">
      <c r="A10" t="str">
        <f t="shared" si="0"/>
        <v>clayton-kunzweiler</v>
      </c>
      <c r="B10" t="s">
        <v>66</v>
      </c>
      <c r="C10" t="s">
        <v>67</v>
      </c>
      <c r="D10" t="str">
        <f t="shared" si="1"/>
        <v>Clayton Kunzweiler</v>
      </c>
    </row>
    <row r="11" spans="1:4" x14ac:dyDescent="0.25">
      <c r="A11" t="str">
        <f t="shared" si="0"/>
        <v>mj-pierre</v>
      </c>
      <c r="B11" t="s">
        <v>68</v>
      </c>
      <c r="C11" t="s">
        <v>69</v>
      </c>
      <c r="D11" t="str">
        <f t="shared" si="1"/>
        <v>MJ Pierre</v>
      </c>
    </row>
    <row r="12" spans="1:4" x14ac:dyDescent="0.25">
      <c r="A12" t="str">
        <f t="shared" si="0"/>
        <v>chris-clemente</v>
      </c>
      <c r="B12" t="s">
        <v>70</v>
      </c>
      <c r="C12" t="s">
        <v>71</v>
      </c>
      <c r="D12" t="str">
        <f t="shared" si="1"/>
        <v>Chris Clemente</v>
      </c>
    </row>
    <row r="13" spans="1:4" x14ac:dyDescent="0.25">
      <c r="A13" t="str">
        <f t="shared" si="0"/>
        <v>mike-ziller</v>
      </c>
      <c r="B13" t="s">
        <v>72</v>
      </c>
      <c r="C13" t="s">
        <v>73</v>
      </c>
      <c r="D13" t="str">
        <f t="shared" si="1"/>
        <v>Mike Ziller</v>
      </c>
    </row>
    <row r="14" spans="1:4" x14ac:dyDescent="0.25">
      <c r="A14" t="str">
        <f t="shared" si="0"/>
        <v>dave-homsher</v>
      </c>
      <c r="B14" t="s">
        <v>74</v>
      </c>
      <c r="C14" t="s">
        <v>75</v>
      </c>
      <c r="D14" t="str">
        <f t="shared" si="1"/>
        <v>Dave Homsher</v>
      </c>
    </row>
    <row r="15" spans="1:4" x14ac:dyDescent="0.25">
      <c r="A15" t="str">
        <f t="shared" si="0"/>
        <v>scott-brusseler</v>
      </c>
      <c r="B15" t="s">
        <v>76</v>
      </c>
      <c r="C15" t="s">
        <v>77</v>
      </c>
      <c r="D15" t="str">
        <f t="shared" si="1"/>
        <v>Scott Brusseler</v>
      </c>
    </row>
    <row r="16" spans="1:4" x14ac:dyDescent="0.25">
      <c r="A16" t="str">
        <f t="shared" si="0"/>
        <v>anthony-shelepets</v>
      </c>
      <c r="B16" t="s">
        <v>78</v>
      </c>
      <c r="C16" t="s">
        <v>79</v>
      </c>
      <c r="D16" t="str">
        <f t="shared" si="1"/>
        <v>Anthony Shelepets</v>
      </c>
    </row>
    <row r="17" spans="1:4" x14ac:dyDescent="0.25">
      <c r="A17" t="str">
        <f t="shared" si="0"/>
        <v>angel-carrion</v>
      </c>
      <c r="B17" t="s">
        <v>80</v>
      </c>
      <c r="C17" t="s">
        <v>81</v>
      </c>
      <c r="D17" t="str">
        <f t="shared" si="1"/>
        <v>Angel Carrion</v>
      </c>
    </row>
    <row r="18" spans="1:4" x14ac:dyDescent="0.25">
      <c r="A18" t="str">
        <f t="shared" si="0"/>
        <v>gates-brooks</v>
      </c>
      <c r="B18" t="s">
        <v>82</v>
      </c>
      <c r="C18" t="s">
        <v>83</v>
      </c>
      <c r="D18" t="str">
        <f t="shared" si="1"/>
        <v>Gates Brooks</v>
      </c>
    </row>
    <row r="19" spans="1:4" x14ac:dyDescent="0.25">
      <c r="A19" t="str">
        <f t="shared" si="0"/>
        <v>patrick-bellino</v>
      </c>
      <c r="B19" t="s">
        <v>84</v>
      </c>
      <c r="C19" t="s">
        <v>85</v>
      </c>
      <c r="D19" t="str">
        <f t="shared" si="1"/>
        <v>Patrick Bellino</v>
      </c>
    </row>
    <row r="20" spans="1:4" x14ac:dyDescent="0.25">
      <c r="A20" t="str">
        <f t="shared" si="0"/>
        <v>dylan-meyler</v>
      </c>
      <c r="B20" t="s">
        <v>86</v>
      </c>
      <c r="C20" t="s">
        <v>87</v>
      </c>
      <c r="D20" t="str">
        <f t="shared" si="1"/>
        <v>Dylan Meyler</v>
      </c>
    </row>
    <row r="21" spans="1:4" x14ac:dyDescent="0.25">
      <c r="A21" t="str">
        <f t="shared" si="0"/>
        <v>brendan-scott</v>
      </c>
      <c r="B21" t="s">
        <v>88</v>
      </c>
      <c r="C21" t="s">
        <v>76</v>
      </c>
      <c r="D21" t="str">
        <f t="shared" si="1"/>
        <v>Brendan Scott</v>
      </c>
    </row>
    <row r="22" spans="1:4" x14ac:dyDescent="0.25">
      <c r="A22" t="str">
        <f t="shared" si="0"/>
        <v>thomas-nasto</v>
      </c>
      <c r="B22" t="s">
        <v>89</v>
      </c>
      <c r="C22" t="s">
        <v>90</v>
      </c>
      <c r="D22" t="str">
        <f t="shared" si="1"/>
        <v>Thomas Nasto</v>
      </c>
    </row>
    <row r="23" spans="1:4" x14ac:dyDescent="0.25">
      <c r="A23" t="str">
        <f t="shared" si="0"/>
        <v>kyle-ginter</v>
      </c>
      <c r="B23" t="s">
        <v>91</v>
      </c>
      <c r="C23" t="s">
        <v>92</v>
      </c>
      <c r="D23" t="str">
        <f t="shared" si="1"/>
        <v>Kyle Ginter</v>
      </c>
    </row>
    <row r="24" spans="1:4" x14ac:dyDescent="0.25">
      <c r="A24" t="str">
        <f t="shared" si="0"/>
        <v>jeff-savage</v>
      </c>
      <c r="B24" t="s">
        <v>93</v>
      </c>
      <c r="C24" t="s">
        <v>94</v>
      </c>
      <c r="D24" t="str">
        <f t="shared" si="1"/>
        <v>Jeff Savage</v>
      </c>
    </row>
    <row r="25" spans="1:4" x14ac:dyDescent="0.25">
      <c r="A25" t="str">
        <f t="shared" si="0"/>
        <v>zach-rollman</v>
      </c>
      <c r="B25" t="s">
        <v>95</v>
      </c>
      <c r="C25" t="s">
        <v>96</v>
      </c>
      <c r="D25" t="str">
        <f t="shared" si="1"/>
        <v>Zach Rollman</v>
      </c>
    </row>
    <row r="26" spans="1:4" x14ac:dyDescent="0.25">
      <c r="A26" t="str">
        <f t="shared" si="0"/>
        <v>derin-sweeney</v>
      </c>
      <c r="B26" t="s">
        <v>97</v>
      </c>
      <c r="C26" t="s">
        <v>98</v>
      </c>
      <c r="D26" t="str">
        <f t="shared" si="1"/>
        <v>Derin Sweeney</v>
      </c>
    </row>
    <row r="27" spans="1:4" x14ac:dyDescent="0.25">
      <c r="A27" t="str">
        <f t="shared" si="0"/>
        <v>hakim-jackson</v>
      </c>
      <c r="B27" t="s">
        <v>99</v>
      </c>
      <c r="C27" t="s">
        <v>100</v>
      </c>
      <c r="D27" t="str">
        <f t="shared" si="1"/>
        <v>Hakim Jackson</v>
      </c>
    </row>
    <row r="28" spans="1:4" x14ac:dyDescent="0.25">
      <c r="A28" t="str">
        <f t="shared" si="0"/>
        <v>kevin-tierney</v>
      </c>
      <c r="B28" t="s">
        <v>101</v>
      </c>
      <c r="C28" t="s">
        <v>102</v>
      </c>
      <c r="D28" t="str">
        <f t="shared" si="1"/>
        <v>Kevin Tierney</v>
      </c>
    </row>
    <row r="29" spans="1:4" x14ac:dyDescent="0.25">
      <c r="A29" t="str">
        <f t="shared" si="0"/>
        <v>brian-clemens</v>
      </c>
      <c r="B29" t="s">
        <v>103</v>
      </c>
      <c r="C29" t="s">
        <v>104</v>
      </c>
      <c r="D29" t="str">
        <f t="shared" si="1"/>
        <v>Brian Clemens</v>
      </c>
    </row>
    <row r="30" spans="1:4" x14ac:dyDescent="0.25">
      <c r="A30" t="str">
        <f t="shared" si="0"/>
        <v>jordan-wilcox</v>
      </c>
      <c r="B30" t="s">
        <v>105</v>
      </c>
      <c r="C30" t="s">
        <v>106</v>
      </c>
      <c r="D30" t="str">
        <f t="shared" si="1"/>
        <v>Jordan Wilcox</v>
      </c>
    </row>
    <row r="31" spans="1:4" x14ac:dyDescent="0.25">
      <c r="A31" t="str">
        <f t="shared" si="0"/>
        <v>donald-owens</v>
      </c>
      <c r="B31" t="s">
        <v>107</v>
      </c>
      <c r="C31" t="s">
        <v>108</v>
      </c>
      <c r="D31" t="str">
        <f t="shared" si="1"/>
        <v>Donald Owens</v>
      </c>
    </row>
    <row r="32" spans="1:4" x14ac:dyDescent="0.25">
      <c r="A32" t="str">
        <f t="shared" si="0"/>
        <v>eli-ratliff</v>
      </c>
      <c r="B32" t="s">
        <v>109</v>
      </c>
      <c r="C32" t="s">
        <v>110</v>
      </c>
      <c r="D32" t="str">
        <f t="shared" si="1"/>
        <v>Eli Ratliff</v>
      </c>
    </row>
    <row r="33" spans="1:4" x14ac:dyDescent="0.25">
      <c r="A33" t="str">
        <f t="shared" si="0"/>
        <v>deven-cobb</v>
      </c>
      <c r="B33" t="s">
        <v>111</v>
      </c>
      <c r="C33" t="s">
        <v>112</v>
      </c>
      <c r="D33" t="str">
        <f t="shared" si="1"/>
        <v>Deven Cobb</v>
      </c>
    </row>
    <row r="34" spans="1:4" x14ac:dyDescent="0.25">
      <c r="A34" t="str">
        <f t="shared" ref="A34:A65" si="2">LOWER(SUBSTITUTE(B34&amp;"-"&amp;C34," ","-"))</f>
        <v>niko-balis</v>
      </c>
      <c r="B34" t="s">
        <v>113</v>
      </c>
      <c r="C34" t="s">
        <v>114</v>
      </c>
      <c r="D34" t="str">
        <f t="shared" ref="D34:D65" si="3">B34&amp;" "&amp;C34</f>
        <v>Niko Balis</v>
      </c>
    </row>
    <row r="35" spans="1:4" x14ac:dyDescent="0.25">
      <c r="A35" t="str">
        <f t="shared" si="2"/>
        <v>donte-diggs</v>
      </c>
      <c r="B35" t="s">
        <v>115</v>
      </c>
      <c r="C35" t="s">
        <v>116</v>
      </c>
      <c r="D35" t="str">
        <f t="shared" si="3"/>
        <v>Donte Diggs</v>
      </c>
    </row>
    <row r="36" spans="1:4" x14ac:dyDescent="0.25">
      <c r="A36" t="str">
        <f t="shared" si="2"/>
        <v>grant-clark</v>
      </c>
      <c r="B36" t="s">
        <v>117</v>
      </c>
      <c r="C36" t="s">
        <v>118</v>
      </c>
      <c r="D36" t="str">
        <f t="shared" si="3"/>
        <v>Grant Clark</v>
      </c>
    </row>
    <row r="37" spans="1:4" x14ac:dyDescent="0.25">
      <c r="A37" t="str">
        <f t="shared" si="2"/>
        <v>chris-ellis</v>
      </c>
      <c r="B37" t="s">
        <v>70</v>
      </c>
      <c r="C37" t="s">
        <v>119</v>
      </c>
      <c r="D37" t="str">
        <f t="shared" si="3"/>
        <v>Chris Ellis</v>
      </c>
    </row>
    <row r="38" spans="1:4" x14ac:dyDescent="0.25">
      <c r="A38" t="str">
        <f t="shared" si="2"/>
        <v>jason-kenny</v>
      </c>
      <c r="B38" t="s">
        <v>120</v>
      </c>
      <c r="C38" t="s">
        <v>121</v>
      </c>
      <c r="D38" t="str">
        <f t="shared" si="3"/>
        <v>Jason Kenny</v>
      </c>
    </row>
    <row r="39" spans="1:4" x14ac:dyDescent="0.25">
      <c r="A39" t="str">
        <f t="shared" si="2"/>
        <v>kyle-kelly</v>
      </c>
      <c r="B39" t="s">
        <v>91</v>
      </c>
      <c r="C39" t="s">
        <v>122</v>
      </c>
      <c r="D39" t="str">
        <f t="shared" si="3"/>
        <v>Kyle Kelly</v>
      </c>
    </row>
    <row r="40" spans="1:4" x14ac:dyDescent="0.25">
      <c r="A40" t="str">
        <f t="shared" si="2"/>
        <v>sean-lane</v>
      </c>
      <c r="B40" t="s">
        <v>56</v>
      </c>
      <c r="C40" t="s">
        <v>123</v>
      </c>
      <c r="D40" t="str">
        <f t="shared" si="3"/>
        <v>Sean Lane</v>
      </c>
    </row>
    <row r="41" spans="1:4" x14ac:dyDescent="0.25">
      <c r="A41" t="str">
        <f t="shared" si="2"/>
        <v>chris-kennedy</v>
      </c>
      <c r="B41" t="s">
        <v>70</v>
      </c>
      <c r="C41" t="s">
        <v>124</v>
      </c>
      <c r="D41" t="str">
        <f t="shared" si="3"/>
        <v>Chris Kennedy</v>
      </c>
    </row>
    <row r="42" spans="1:4" x14ac:dyDescent="0.25">
      <c r="A42" t="str">
        <f t="shared" si="2"/>
        <v>anthony-marone</v>
      </c>
      <c r="B42" t="s">
        <v>78</v>
      </c>
      <c r="C42" t="s">
        <v>125</v>
      </c>
      <c r="D42" t="str">
        <f t="shared" si="3"/>
        <v>Anthony Marone</v>
      </c>
    </row>
    <row r="43" spans="1:4" x14ac:dyDescent="0.25">
      <c r="A43" t="str">
        <f t="shared" si="2"/>
        <v>doug-adams</v>
      </c>
      <c r="B43" t="s">
        <v>126</v>
      </c>
      <c r="C43" t="s">
        <v>127</v>
      </c>
      <c r="D43" t="str">
        <f t="shared" si="3"/>
        <v>Doug Adams</v>
      </c>
    </row>
    <row r="44" spans="1:4" x14ac:dyDescent="0.25">
      <c r="A44" t="str">
        <f t="shared" si="2"/>
        <v>kelechi-madu</v>
      </c>
      <c r="B44" t="s">
        <v>128</v>
      </c>
      <c r="C44" t="s">
        <v>129</v>
      </c>
      <c r="D44" t="str">
        <f t="shared" si="3"/>
        <v>Kelechi Madu</v>
      </c>
    </row>
    <row r="45" spans="1:4" x14ac:dyDescent="0.25">
      <c r="A45" t="str">
        <f t="shared" si="2"/>
        <v>connor-stine</v>
      </c>
      <c r="B45" t="s">
        <v>130</v>
      </c>
      <c r="C45" t="s">
        <v>131</v>
      </c>
      <c r="D45" t="str">
        <f t="shared" si="3"/>
        <v>Connor Stine</v>
      </c>
    </row>
    <row r="46" spans="1:4" x14ac:dyDescent="0.25">
      <c r="A46" t="str">
        <f t="shared" si="2"/>
        <v>sragvi-tirumala</v>
      </c>
      <c r="B46" t="s">
        <v>132</v>
      </c>
      <c r="C46" t="s">
        <v>133</v>
      </c>
      <c r="D46" t="str">
        <f t="shared" si="3"/>
        <v>Sragvi Tirumala</v>
      </c>
    </row>
    <row r="47" spans="1:4" x14ac:dyDescent="0.25">
      <c r="A47" t="str">
        <f t="shared" si="2"/>
        <v>janos-vajda</v>
      </c>
      <c r="B47" t="s">
        <v>134</v>
      </c>
      <c r="C47" t="s">
        <v>135</v>
      </c>
      <c r="D47" t="str">
        <f t="shared" si="3"/>
        <v>Janos Vajda</v>
      </c>
    </row>
    <row r="48" spans="1:4" x14ac:dyDescent="0.25">
      <c r="A48" t="str">
        <f t="shared" si="2"/>
        <v>brett-ziller</v>
      </c>
      <c r="B48" t="s">
        <v>136</v>
      </c>
      <c r="C48" t="s">
        <v>73</v>
      </c>
      <c r="D48" t="str">
        <f t="shared" si="3"/>
        <v>Brett Ziller</v>
      </c>
    </row>
    <row r="49" spans="1:4" x14ac:dyDescent="0.25">
      <c r="A49" t="str">
        <f t="shared" si="2"/>
        <v>allen-harley</v>
      </c>
      <c r="B49" t="s">
        <v>137</v>
      </c>
      <c r="C49" t="s">
        <v>138</v>
      </c>
      <c r="D49" t="str">
        <f t="shared" si="3"/>
        <v>Allen Harley</v>
      </c>
    </row>
    <row r="50" spans="1:4" x14ac:dyDescent="0.25">
      <c r="A50" t="str">
        <f t="shared" si="2"/>
        <v>manthan-tailor</v>
      </c>
      <c r="B50" t="s">
        <v>139</v>
      </c>
      <c r="C50" t="s">
        <v>140</v>
      </c>
      <c r="D50" t="str">
        <f t="shared" si="3"/>
        <v>Manthan Tailor</v>
      </c>
    </row>
    <row r="51" spans="1:4" x14ac:dyDescent="0.25">
      <c r="A51" t="str">
        <f t="shared" si="2"/>
        <v>ricky-riaz</v>
      </c>
      <c r="B51" t="s">
        <v>141</v>
      </c>
      <c r="C51" t="s">
        <v>142</v>
      </c>
      <c r="D51" t="str">
        <f t="shared" si="3"/>
        <v>Ricky Riaz</v>
      </c>
    </row>
    <row r="52" spans="1:4" x14ac:dyDescent="0.25">
      <c r="A52" t="str">
        <f t="shared" si="2"/>
        <v>connor-thomas</v>
      </c>
      <c r="B52" t="s">
        <v>130</v>
      </c>
      <c r="C52" t="s">
        <v>89</v>
      </c>
      <c r="D52" t="str">
        <f t="shared" si="3"/>
        <v>Connor Thomas</v>
      </c>
    </row>
    <row r="53" spans="1:4" x14ac:dyDescent="0.25">
      <c r="A53" t="str">
        <f t="shared" si="2"/>
        <v>connor-holm</v>
      </c>
      <c r="B53" t="s">
        <v>130</v>
      </c>
      <c r="C53" t="s">
        <v>143</v>
      </c>
      <c r="D53" t="str">
        <f t="shared" si="3"/>
        <v>Connor Holm</v>
      </c>
    </row>
    <row r="54" spans="1:4" x14ac:dyDescent="0.25">
      <c r="A54" t="str">
        <f t="shared" si="2"/>
        <v>jack-bauman</v>
      </c>
      <c r="B54" t="s">
        <v>144</v>
      </c>
      <c r="C54" t="s">
        <v>145</v>
      </c>
      <c r="D54" t="str">
        <f t="shared" si="3"/>
        <v>Jack Bauman</v>
      </c>
    </row>
    <row r="55" spans="1:4" x14ac:dyDescent="0.25">
      <c r="A55" t="str">
        <f t="shared" si="2"/>
        <v>ben-golden</v>
      </c>
      <c r="B55" t="s">
        <v>146</v>
      </c>
      <c r="C55" t="s">
        <v>147</v>
      </c>
      <c r="D55" t="str">
        <f t="shared" si="3"/>
        <v>Ben Golden</v>
      </c>
    </row>
    <row r="56" spans="1:4" x14ac:dyDescent="0.25">
      <c r="A56" t="str">
        <f t="shared" si="2"/>
        <v>ian-mccaw</v>
      </c>
      <c r="B56" t="s">
        <v>148</v>
      </c>
      <c r="C56" t="s">
        <v>149</v>
      </c>
      <c r="D56" t="str">
        <f t="shared" si="3"/>
        <v>Ian McCaw</v>
      </c>
    </row>
    <row r="57" spans="1:4" x14ac:dyDescent="0.25">
      <c r="A57" t="str">
        <f t="shared" si="2"/>
        <v>keshon-coleman</v>
      </c>
      <c r="B57" t="s">
        <v>150</v>
      </c>
      <c r="C57" t="s">
        <v>151</v>
      </c>
      <c r="D57" t="str">
        <f t="shared" si="3"/>
        <v>Keshon Coleman</v>
      </c>
    </row>
    <row r="58" spans="1:4" x14ac:dyDescent="0.25">
      <c r="A58" t="str">
        <f t="shared" si="2"/>
        <v>bassang-atoulelou</v>
      </c>
      <c r="B58" t="s">
        <v>152</v>
      </c>
      <c r="C58" t="s">
        <v>153</v>
      </c>
      <c r="D58" t="str">
        <f t="shared" si="3"/>
        <v>Bassang Atoulelou</v>
      </c>
    </row>
    <row r="59" spans="1:4" x14ac:dyDescent="0.25">
      <c r="A59" t="str">
        <f t="shared" si="2"/>
        <v>case-guenette</v>
      </c>
      <c r="B59" t="s">
        <v>154</v>
      </c>
      <c r="C59" t="s">
        <v>155</v>
      </c>
      <c r="D59" t="str">
        <f t="shared" si="3"/>
        <v>Case Guenette</v>
      </c>
    </row>
    <row r="60" spans="1:4" x14ac:dyDescent="0.25">
      <c r="A60" t="str">
        <f t="shared" si="2"/>
        <v>thomas-lynen</v>
      </c>
      <c r="B60" t="s">
        <v>89</v>
      </c>
      <c r="C60" t="s">
        <v>156</v>
      </c>
      <c r="D60" t="str">
        <f t="shared" si="3"/>
        <v>Thomas Lynen</v>
      </c>
    </row>
    <row r="61" spans="1:4" x14ac:dyDescent="0.25">
      <c r="A61" t="str">
        <f t="shared" si="2"/>
        <v>courtney-cubbage</v>
      </c>
      <c r="B61" t="s">
        <v>157</v>
      </c>
      <c r="C61" t="s">
        <v>158</v>
      </c>
      <c r="D61" t="str">
        <f t="shared" si="3"/>
        <v>Courtney Cubbage</v>
      </c>
    </row>
    <row r="62" spans="1:4" x14ac:dyDescent="0.25">
      <c r="A62" t="str">
        <f t="shared" si="2"/>
        <v>bryce-meredith</v>
      </c>
      <c r="B62" t="s">
        <v>159</v>
      </c>
      <c r="C62" t="s">
        <v>160</v>
      </c>
      <c r="D62" t="str">
        <f t="shared" si="3"/>
        <v>Bryce Meredith</v>
      </c>
    </row>
    <row r="63" spans="1:4" x14ac:dyDescent="0.25">
      <c r="A63" t="str">
        <f t="shared" si="2"/>
        <v>travis-gibbs</v>
      </c>
      <c r="B63" t="s">
        <v>161</v>
      </c>
      <c r="C63" t="s">
        <v>162</v>
      </c>
      <c r="D63" t="str">
        <f t="shared" si="3"/>
        <v>Travis Gibbs</v>
      </c>
    </row>
    <row r="64" spans="1:4" x14ac:dyDescent="0.25">
      <c r="A64" t="str">
        <f t="shared" si="2"/>
        <v>david-hays</v>
      </c>
      <c r="B64" t="s">
        <v>163</v>
      </c>
      <c r="C64" t="s">
        <v>164</v>
      </c>
      <c r="D64" t="str">
        <f t="shared" si="3"/>
        <v>David Hays</v>
      </c>
    </row>
    <row r="65" spans="1:4" x14ac:dyDescent="0.25">
      <c r="A65" t="str">
        <f t="shared" si="2"/>
        <v>thomas-hays</v>
      </c>
      <c r="B65" t="s">
        <v>89</v>
      </c>
      <c r="C65" t="s">
        <v>164</v>
      </c>
      <c r="D65" t="str">
        <f t="shared" si="3"/>
        <v>Thomas Hays</v>
      </c>
    </row>
    <row r="66" spans="1:4" x14ac:dyDescent="0.25">
      <c r="A66" t="str">
        <f t="shared" ref="A66:A97" si="4">LOWER(SUBSTITUTE(B66&amp;"-"&amp;C66," ","-"))</f>
        <v>matt-kasper</v>
      </c>
      <c r="B66" t="s">
        <v>64</v>
      </c>
      <c r="C66" t="s">
        <v>165</v>
      </c>
      <c r="D66" t="str">
        <f t="shared" ref="D66:D97" si="5">B66&amp;" "&amp;C66</f>
        <v>Matt Kasper</v>
      </c>
    </row>
    <row r="67" spans="1:4" x14ac:dyDescent="0.25">
      <c r="A67" t="str">
        <f t="shared" si="4"/>
        <v>kevin-carroll</v>
      </c>
      <c r="B67" t="s">
        <v>101</v>
      </c>
      <c r="C67" t="s">
        <v>166</v>
      </c>
      <c r="D67" t="str">
        <f t="shared" si="5"/>
        <v>Kevin Carroll</v>
      </c>
    </row>
    <row r="68" spans="1:4" x14ac:dyDescent="0.25">
      <c r="A68" t="str">
        <f t="shared" si="4"/>
        <v>douglas-alexander</v>
      </c>
      <c r="B68" t="s">
        <v>167</v>
      </c>
      <c r="C68" t="s">
        <v>168</v>
      </c>
      <c r="D68" t="str">
        <f t="shared" si="5"/>
        <v>Douglas Alexander</v>
      </c>
    </row>
    <row r="69" spans="1:4" x14ac:dyDescent="0.25">
      <c r="A69" t="str">
        <f t="shared" si="4"/>
        <v>jose-toledo</v>
      </c>
      <c r="B69" t="s">
        <v>169</v>
      </c>
      <c r="C69" t="s">
        <v>170</v>
      </c>
      <c r="D69" t="str">
        <f t="shared" si="5"/>
        <v>Jose Toledo</v>
      </c>
    </row>
    <row r="70" spans="1:4" x14ac:dyDescent="0.25">
      <c r="A70" t="str">
        <f t="shared" si="4"/>
        <v>russel-verceles</v>
      </c>
      <c r="B70" t="s">
        <v>171</v>
      </c>
      <c r="C70" t="s">
        <v>172</v>
      </c>
      <c r="D70" t="str">
        <f t="shared" si="5"/>
        <v>Russel Verceles</v>
      </c>
    </row>
    <row r="71" spans="1:4" x14ac:dyDescent="0.25">
      <c r="A71" t="str">
        <f t="shared" si="4"/>
        <v>tommy-zheng</v>
      </c>
      <c r="B71" t="s">
        <v>173</v>
      </c>
      <c r="C71" t="s">
        <v>174</v>
      </c>
      <c r="D71" t="str">
        <f t="shared" si="5"/>
        <v>Tommy Zheng</v>
      </c>
    </row>
    <row r="72" spans="1:4" x14ac:dyDescent="0.25">
      <c r="A72" t="str">
        <f t="shared" si="4"/>
        <v>guillermo-jacquez</v>
      </c>
      <c r="B72" t="s">
        <v>175</v>
      </c>
      <c r="C72" t="s">
        <v>176</v>
      </c>
      <c r="D72" t="str">
        <f t="shared" si="5"/>
        <v>Guillermo Jacquez</v>
      </c>
    </row>
    <row r="73" spans="1:4" x14ac:dyDescent="0.25">
      <c r="A73" t="str">
        <f t="shared" si="4"/>
        <v>jordan-williams</v>
      </c>
      <c r="B73" t="s">
        <v>105</v>
      </c>
      <c r="C73" t="s">
        <v>177</v>
      </c>
      <c r="D73" t="str">
        <f t="shared" si="5"/>
        <v>Jordan Williams</v>
      </c>
    </row>
    <row r="74" spans="1:4" x14ac:dyDescent="0.25">
      <c r="A74" t="str">
        <f t="shared" si="4"/>
        <v>ebrahim-mohamed</v>
      </c>
      <c r="B74" t="s">
        <v>178</v>
      </c>
      <c r="C74" t="s">
        <v>179</v>
      </c>
      <c r="D74" t="str">
        <f t="shared" si="5"/>
        <v>Ebrahim Mohamed</v>
      </c>
    </row>
    <row r="75" spans="1:4" x14ac:dyDescent="0.25">
      <c r="A75" t="str">
        <f t="shared" si="4"/>
        <v>raeid-choudhury</v>
      </c>
      <c r="B75" t="s">
        <v>180</v>
      </c>
      <c r="C75" t="s">
        <v>181</v>
      </c>
      <c r="D75" t="str">
        <f t="shared" si="5"/>
        <v>Raeid Choudhury</v>
      </c>
    </row>
    <row r="76" spans="1:4" x14ac:dyDescent="0.25">
      <c r="A76" t="str">
        <f t="shared" si="4"/>
        <v>grant-blasiak</v>
      </c>
      <c r="B76" t="s">
        <v>117</v>
      </c>
      <c r="C76" t="s">
        <v>182</v>
      </c>
      <c r="D76" t="str">
        <f t="shared" si="5"/>
        <v>Grant Blasiak</v>
      </c>
    </row>
    <row r="77" spans="1:4" x14ac:dyDescent="0.25">
      <c r="A77" t="str">
        <f t="shared" si="4"/>
        <v>phil-chenard</v>
      </c>
      <c r="B77" t="s">
        <v>183</v>
      </c>
      <c r="C77" t="s">
        <v>184</v>
      </c>
      <c r="D77" t="str">
        <f t="shared" si="5"/>
        <v>Phil Chenard</v>
      </c>
    </row>
    <row r="78" spans="1:4" x14ac:dyDescent="0.25">
      <c r="A78" t="str">
        <f t="shared" si="4"/>
        <v>vanardo-banks</v>
      </c>
      <c r="B78" t="s">
        <v>185</v>
      </c>
      <c r="C78" t="s">
        <v>186</v>
      </c>
      <c r="D78" t="str">
        <f t="shared" si="5"/>
        <v>Vanardo Banks</v>
      </c>
    </row>
    <row r="79" spans="1:4" x14ac:dyDescent="0.25">
      <c r="A79" t="str">
        <f t="shared" si="4"/>
        <v>sean-mcandrew</v>
      </c>
      <c r="B79" t="s">
        <v>56</v>
      </c>
      <c r="C79" t="s">
        <v>187</v>
      </c>
      <c r="D79" t="str">
        <f t="shared" si="5"/>
        <v>Sean McAndrew</v>
      </c>
    </row>
    <row r="80" spans="1:4" x14ac:dyDescent="0.25">
      <c r="A80" t="str">
        <f t="shared" si="4"/>
        <v>cray-cordero</v>
      </c>
      <c r="B80" t="s">
        <v>188</v>
      </c>
      <c r="C80" t="s">
        <v>189</v>
      </c>
      <c r="D80" t="str">
        <f t="shared" si="5"/>
        <v>Cray Cordero</v>
      </c>
    </row>
    <row r="81" spans="1:4" x14ac:dyDescent="0.25">
      <c r="A81" t="str">
        <f t="shared" si="4"/>
        <v>nkenna-opara</v>
      </c>
      <c r="B81" t="s">
        <v>190</v>
      </c>
      <c r="C81" t="s">
        <v>191</v>
      </c>
      <c r="D81" t="str">
        <f t="shared" si="5"/>
        <v>Nkenna Opara</v>
      </c>
    </row>
    <row r="82" spans="1:4" x14ac:dyDescent="0.25">
      <c r="A82" t="str">
        <f t="shared" si="4"/>
        <v>junior-peralta</v>
      </c>
      <c r="B82" t="s">
        <v>192</v>
      </c>
      <c r="C82" t="s">
        <v>193</v>
      </c>
      <c r="D82" t="str">
        <f t="shared" si="5"/>
        <v>Junior Peralta</v>
      </c>
    </row>
    <row r="83" spans="1:4" x14ac:dyDescent="0.25">
      <c r="A83" t="str">
        <f t="shared" si="4"/>
        <v>jossell-de-coteau</v>
      </c>
      <c r="B83" t="s">
        <v>194</v>
      </c>
      <c r="C83" t="s">
        <v>195</v>
      </c>
      <c r="D83" t="str">
        <f t="shared" si="5"/>
        <v>Jossell De Coteau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83"/>
  <sheetViews>
    <sheetView workbookViewId="0">
      <selection activeCell="D1" sqref="D1"/>
    </sheetView>
  </sheetViews>
  <sheetFormatPr defaultColWidth="48.140625" defaultRowHeight="15" x14ac:dyDescent="0.25"/>
  <cols>
    <col min="1" max="1" width="9" bestFit="1" customWidth="1"/>
    <col min="2" max="2" width="35.85546875" customWidth="1"/>
    <col min="3" max="3" width="29.42578125" customWidth="1"/>
    <col min="4" max="4" width="25.7109375" customWidth="1"/>
    <col min="5" max="5" width="13.85546875" bestFit="1" customWidth="1"/>
  </cols>
  <sheetData>
    <row r="1" spans="1:5" x14ac:dyDescent="0.25">
      <c r="A1" t="s">
        <v>0</v>
      </c>
      <c r="B1" t="s">
        <v>38</v>
      </c>
      <c r="C1" t="s">
        <v>6</v>
      </c>
      <c r="D1" t="s">
        <v>49</v>
      </c>
      <c r="E1" t="s">
        <v>196</v>
      </c>
    </row>
    <row r="2" spans="1:5" x14ac:dyDescent="0.25">
      <c r="A2">
        <v>2026</v>
      </c>
      <c r="B2" t="s">
        <v>197</v>
      </c>
      <c r="C2" t="s">
        <v>10</v>
      </c>
      <c r="D2" t="s">
        <v>41</v>
      </c>
      <c r="E2">
        <v>22</v>
      </c>
    </row>
    <row r="3" spans="1:5" x14ac:dyDescent="0.25">
      <c r="A3">
        <v>2026</v>
      </c>
      <c r="B3" t="s">
        <v>197</v>
      </c>
      <c r="C3" t="s">
        <v>10</v>
      </c>
      <c r="D3" t="s">
        <v>198</v>
      </c>
      <c r="E3">
        <v>2</v>
      </c>
    </row>
    <row r="4" spans="1:5" x14ac:dyDescent="0.25">
      <c r="A4">
        <v>2026</v>
      </c>
      <c r="B4" t="s">
        <v>197</v>
      </c>
      <c r="C4" t="s">
        <v>10</v>
      </c>
      <c r="D4" t="s">
        <v>199</v>
      </c>
      <c r="E4">
        <v>33</v>
      </c>
    </row>
    <row r="5" spans="1:5" x14ac:dyDescent="0.25">
      <c r="A5">
        <v>2026</v>
      </c>
      <c r="B5" t="s">
        <v>197</v>
      </c>
      <c r="C5" t="s">
        <v>10</v>
      </c>
      <c r="D5" t="s">
        <v>200</v>
      </c>
      <c r="E5">
        <v>9</v>
      </c>
    </row>
    <row r="6" spans="1:5" x14ac:dyDescent="0.25">
      <c r="A6">
        <v>2026</v>
      </c>
      <c r="B6" t="s">
        <v>197</v>
      </c>
      <c r="C6" t="s">
        <v>10</v>
      </c>
      <c r="D6" t="s">
        <v>201</v>
      </c>
      <c r="E6">
        <v>5</v>
      </c>
    </row>
    <row r="7" spans="1:5" x14ac:dyDescent="0.25">
      <c r="A7">
        <v>2026</v>
      </c>
      <c r="B7" t="s">
        <v>197</v>
      </c>
      <c r="C7" t="s">
        <v>10</v>
      </c>
      <c r="D7" t="s">
        <v>202</v>
      </c>
      <c r="E7">
        <v>20</v>
      </c>
    </row>
    <row r="8" spans="1:5" x14ac:dyDescent="0.25">
      <c r="A8">
        <v>2026</v>
      </c>
      <c r="B8" t="s">
        <v>197</v>
      </c>
      <c r="C8" t="s">
        <v>10</v>
      </c>
      <c r="D8" t="s">
        <v>203</v>
      </c>
      <c r="E8">
        <v>3</v>
      </c>
    </row>
    <row r="9" spans="1:5" x14ac:dyDescent="0.25">
      <c r="A9">
        <v>2026</v>
      </c>
      <c r="B9" t="s">
        <v>197</v>
      </c>
      <c r="C9" t="s">
        <v>10</v>
      </c>
      <c r="D9" t="s">
        <v>204</v>
      </c>
      <c r="E9">
        <v>11</v>
      </c>
    </row>
    <row r="10" spans="1:5" x14ac:dyDescent="0.25">
      <c r="A10">
        <v>2026</v>
      </c>
      <c r="B10" t="s">
        <v>197</v>
      </c>
      <c r="C10" t="s">
        <v>10</v>
      </c>
      <c r="D10" t="s">
        <v>205</v>
      </c>
      <c r="E10">
        <v>13</v>
      </c>
    </row>
    <row r="11" spans="1:5" x14ac:dyDescent="0.25">
      <c r="A11">
        <v>2026</v>
      </c>
      <c r="B11" t="s">
        <v>197</v>
      </c>
      <c r="C11" t="s">
        <v>10</v>
      </c>
      <c r="D11" t="s">
        <v>206</v>
      </c>
      <c r="E11">
        <v>24</v>
      </c>
    </row>
    <row r="12" spans="1:5" x14ac:dyDescent="0.25">
      <c r="A12">
        <v>2026</v>
      </c>
      <c r="B12" t="s">
        <v>207</v>
      </c>
      <c r="C12" t="s">
        <v>14</v>
      </c>
      <c r="D12" t="s">
        <v>42</v>
      </c>
      <c r="E12">
        <v>21</v>
      </c>
    </row>
    <row r="13" spans="1:5" x14ac:dyDescent="0.25">
      <c r="A13">
        <v>2026</v>
      </c>
      <c r="B13" t="s">
        <v>207</v>
      </c>
      <c r="C13" t="s">
        <v>14</v>
      </c>
      <c r="D13" t="s">
        <v>208</v>
      </c>
      <c r="E13">
        <v>2</v>
      </c>
    </row>
    <row r="14" spans="1:5" x14ac:dyDescent="0.25">
      <c r="A14">
        <v>2026</v>
      </c>
      <c r="B14" t="s">
        <v>207</v>
      </c>
      <c r="C14" t="s">
        <v>14</v>
      </c>
      <c r="D14" t="s">
        <v>209</v>
      </c>
      <c r="E14">
        <v>3</v>
      </c>
    </row>
    <row r="15" spans="1:5" x14ac:dyDescent="0.25">
      <c r="A15">
        <v>2026</v>
      </c>
      <c r="B15" t="s">
        <v>207</v>
      </c>
      <c r="C15" t="s">
        <v>14</v>
      </c>
      <c r="D15" t="s">
        <v>210</v>
      </c>
      <c r="E15">
        <v>14</v>
      </c>
    </row>
    <row r="16" spans="1:5" x14ac:dyDescent="0.25">
      <c r="A16">
        <v>2026</v>
      </c>
      <c r="B16" t="s">
        <v>207</v>
      </c>
      <c r="C16" t="s">
        <v>14</v>
      </c>
      <c r="D16" t="s">
        <v>211</v>
      </c>
      <c r="E16">
        <v>53</v>
      </c>
    </row>
    <row r="17" spans="1:5" x14ac:dyDescent="0.25">
      <c r="A17">
        <v>2026</v>
      </c>
      <c r="B17" t="s">
        <v>207</v>
      </c>
      <c r="C17" t="s">
        <v>14</v>
      </c>
      <c r="D17" t="s">
        <v>212</v>
      </c>
      <c r="E17">
        <v>7</v>
      </c>
    </row>
    <row r="18" spans="1:5" x14ac:dyDescent="0.25">
      <c r="A18">
        <v>2026</v>
      </c>
      <c r="B18" t="s">
        <v>207</v>
      </c>
      <c r="C18" t="s">
        <v>14</v>
      </c>
      <c r="D18" t="s">
        <v>213</v>
      </c>
      <c r="E18">
        <v>43</v>
      </c>
    </row>
    <row r="19" spans="1:5" x14ac:dyDescent="0.25">
      <c r="A19">
        <v>2026</v>
      </c>
      <c r="B19" t="s">
        <v>207</v>
      </c>
      <c r="C19" t="s">
        <v>14</v>
      </c>
      <c r="D19" t="s">
        <v>214</v>
      </c>
      <c r="E19">
        <v>1</v>
      </c>
    </row>
    <row r="20" spans="1:5" x14ac:dyDescent="0.25">
      <c r="A20">
        <v>2026</v>
      </c>
      <c r="B20" t="s">
        <v>207</v>
      </c>
      <c r="C20" t="s">
        <v>14</v>
      </c>
      <c r="D20" t="s">
        <v>215</v>
      </c>
      <c r="E20">
        <v>10</v>
      </c>
    </row>
    <row r="21" spans="1:5" x14ac:dyDescent="0.25">
      <c r="A21">
        <v>2026</v>
      </c>
      <c r="B21" t="s">
        <v>207</v>
      </c>
      <c r="C21" t="s">
        <v>14</v>
      </c>
      <c r="D21" t="s">
        <v>216</v>
      </c>
      <c r="E21">
        <v>11</v>
      </c>
    </row>
    <row r="22" spans="1:5" x14ac:dyDescent="0.25">
      <c r="A22">
        <v>2026</v>
      </c>
      <c r="B22" t="s">
        <v>207</v>
      </c>
      <c r="C22" t="s">
        <v>14</v>
      </c>
      <c r="D22" t="s">
        <v>217</v>
      </c>
      <c r="E22">
        <v>9</v>
      </c>
    </row>
    <row r="23" spans="1:5" x14ac:dyDescent="0.25">
      <c r="A23">
        <v>2026</v>
      </c>
      <c r="B23" t="s">
        <v>218</v>
      </c>
      <c r="C23" t="s">
        <v>21</v>
      </c>
      <c r="D23" t="s">
        <v>44</v>
      </c>
      <c r="E23">
        <v>7</v>
      </c>
    </row>
    <row r="24" spans="1:5" x14ac:dyDescent="0.25">
      <c r="A24">
        <v>2026</v>
      </c>
      <c r="B24" t="s">
        <v>218</v>
      </c>
      <c r="C24" t="s">
        <v>21</v>
      </c>
      <c r="D24" t="s">
        <v>219</v>
      </c>
      <c r="E24">
        <v>14</v>
      </c>
    </row>
    <row r="25" spans="1:5" x14ac:dyDescent="0.25">
      <c r="A25">
        <v>2026</v>
      </c>
      <c r="B25" t="s">
        <v>218</v>
      </c>
      <c r="C25" t="s">
        <v>21</v>
      </c>
      <c r="D25" t="s">
        <v>220</v>
      </c>
      <c r="E25">
        <v>13</v>
      </c>
    </row>
    <row r="26" spans="1:5" x14ac:dyDescent="0.25">
      <c r="A26">
        <v>2026</v>
      </c>
      <c r="B26" t="s">
        <v>218</v>
      </c>
      <c r="C26" t="s">
        <v>21</v>
      </c>
      <c r="D26" t="s">
        <v>221</v>
      </c>
      <c r="E26">
        <v>0</v>
      </c>
    </row>
    <row r="27" spans="1:5" x14ac:dyDescent="0.25">
      <c r="A27">
        <v>2026</v>
      </c>
      <c r="B27" t="s">
        <v>218</v>
      </c>
      <c r="C27" t="s">
        <v>21</v>
      </c>
      <c r="D27" t="s">
        <v>222</v>
      </c>
      <c r="E27">
        <v>77</v>
      </c>
    </row>
    <row r="28" spans="1:5" x14ac:dyDescent="0.25">
      <c r="A28">
        <v>2026</v>
      </c>
      <c r="B28" t="s">
        <v>218</v>
      </c>
      <c r="C28" t="s">
        <v>21</v>
      </c>
      <c r="D28" t="s">
        <v>223</v>
      </c>
      <c r="E28">
        <v>1</v>
      </c>
    </row>
    <row r="29" spans="1:5" x14ac:dyDescent="0.25">
      <c r="A29">
        <v>2026</v>
      </c>
      <c r="B29" t="s">
        <v>218</v>
      </c>
      <c r="C29" t="s">
        <v>21</v>
      </c>
      <c r="D29" t="s">
        <v>224</v>
      </c>
      <c r="E29">
        <v>17</v>
      </c>
    </row>
    <row r="30" spans="1:5" x14ac:dyDescent="0.25">
      <c r="A30">
        <v>2026</v>
      </c>
      <c r="B30" t="s">
        <v>218</v>
      </c>
      <c r="C30" t="s">
        <v>21</v>
      </c>
      <c r="D30" t="s">
        <v>225</v>
      </c>
      <c r="E30">
        <v>24</v>
      </c>
    </row>
    <row r="31" spans="1:5" x14ac:dyDescent="0.25">
      <c r="A31">
        <v>2026</v>
      </c>
      <c r="B31" t="s">
        <v>218</v>
      </c>
      <c r="C31" t="s">
        <v>21</v>
      </c>
      <c r="D31" t="s">
        <v>226</v>
      </c>
      <c r="E31">
        <v>11</v>
      </c>
    </row>
    <row r="32" spans="1:5" x14ac:dyDescent="0.25">
      <c r="A32">
        <v>2026</v>
      </c>
      <c r="B32" t="s">
        <v>227</v>
      </c>
      <c r="C32" t="s">
        <v>25</v>
      </c>
      <c r="D32" t="s">
        <v>45</v>
      </c>
      <c r="E32">
        <v>4</v>
      </c>
    </row>
    <row r="33" spans="1:5" x14ac:dyDescent="0.25">
      <c r="A33">
        <v>2026</v>
      </c>
      <c r="B33" t="s">
        <v>227</v>
      </c>
      <c r="C33" t="s">
        <v>25</v>
      </c>
      <c r="D33" t="s">
        <v>228</v>
      </c>
      <c r="E33">
        <v>22</v>
      </c>
    </row>
    <row r="34" spans="1:5" x14ac:dyDescent="0.25">
      <c r="A34">
        <v>2026</v>
      </c>
      <c r="B34" t="s">
        <v>227</v>
      </c>
      <c r="C34" t="s">
        <v>25</v>
      </c>
      <c r="D34" t="s">
        <v>229</v>
      </c>
      <c r="E34">
        <v>51</v>
      </c>
    </row>
    <row r="35" spans="1:5" x14ac:dyDescent="0.25">
      <c r="A35">
        <v>2026</v>
      </c>
      <c r="B35" t="s">
        <v>227</v>
      </c>
      <c r="C35" t="s">
        <v>25</v>
      </c>
      <c r="D35" t="s">
        <v>230</v>
      </c>
      <c r="E35">
        <v>21</v>
      </c>
    </row>
    <row r="36" spans="1:5" x14ac:dyDescent="0.25">
      <c r="A36">
        <v>2026</v>
      </c>
      <c r="B36" t="s">
        <v>227</v>
      </c>
      <c r="C36" t="s">
        <v>25</v>
      </c>
      <c r="D36" t="s">
        <v>231</v>
      </c>
      <c r="E36">
        <v>1</v>
      </c>
    </row>
    <row r="37" spans="1:5" x14ac:dyDescent="0.25">
      <c r="A37">
        <v>2026</v>
      </c>
      <c r="B37" t="s">
        <v>227</v>
      </c>
      <c r="C37" t="s">
        <v>25</v>
      </c>
      <c r="D37" t="s">
        <v>232</v>
      </c>
      <c r="E37">
        <v>0</v>
      </c>
    </row>
    <row r="38" spans="1:5" x14ac:dyDescent="0.25">
      <c r="A38">
        <v>2026</v>
      </c>
      <c r="B38" t="s">
        <v>227</v>
      </c>
      <c r="C38" t="s">
        <v>25</v>
      </c>
      <c r="D38" t="s">
        <v>233</v>
      </c>
    </row>
    <row r="39" spans="1:5" x14ac:dyDescent="0.25">
      <c r="A39">
        <v>2026</v>
      </c>
      <c r="B39" t="s">
        <v>227</v>
      </c>
      <c r="C39" t="s">
        <v>25</v>
      </c>
      <c r="D39" t="s">
        <v>234</v>
      </c>
      <c r="E39">
        <v>13</v>
      </c>
    </row>
    <row r="40" spans="1:5" x14ac:dyDescent="0.25">
      <c r="A40">
        <v>2026</v>
      </c>
      <c r="B40" t="s">
        <v>227</v>
      </c>
      <c r="C40" t="s">
        <v>25</v>
      </c>
      <c r="D40" t="s">
        <v>235</v>
      </c>
      <c r="E40">
        <v>3</v>
      </c>
    </row>
    <row r="41" spans="1:5" x14ac:dyDescent="0.25">
      <c r="A41">
        <v>2026</v>
      </c>
      <c r="B41" t="s">
        <v>227</v>
      </c>
      <c r="C41" t="s">
        <v>25</v>
      </c>
      <c r="D41" t="s">
        <v>236</v>
      </c>
      <c r="E41">
        <v>33</v>
      </c>
    </row>
    <row r="42" spans="1:5" x14ac:dyDescent="0.25">
      <c r="A42">
        <v>2026</v>
      </c>
      <c r="B42" t="s">
        <v>227</v>
      </c>
      <c r="C42" t="s">
        <v>25</v>
      </c>
      <c r="D42" t="s">
        <v>237</v>
      </c>
      <c r="E42">
        <v>32</v>
      </c>
    </row>
    <row r="43" spans="1:5" x14ac:dyDescent="0.25">
      <c r="A43">
        <v>2026</v>
      </c>
      <c r="B43" t="s">
        <v>238</v>
      </c>
      <c r="C43" t="s">
        <v>18</v>
      </c>
      <c r="D43" t="s">
        <v>239</v>
      </c>
      <c r="E43">
        <v>3</v>
      </c>
    </row>
    <row r="44" spans="1:5" x14ac:dyDescent="0.25">
      <c r="A44">
        <v>2026</v>
      </c>
      <c r="B44" t="s">
        <v>238</v>
      </c>
      <c r="C44" t="s">
        <v>18</v>
      </c>
      <c r="D44" t="s">
        <v>240</v>
      </c>
      <c r="E44">
        <v>13</v>
      </c>
    </row>
    <row r="45" spans="1:5" x14ac:dyDescent="0.25">
      <c r="A45">
        <v>2026</v>
      </c>
      <c r="B45" t="s">
        <v>238</v>
      </c>
      <c r="C45" t="s">
        <v>18</v>
      </c>
      <c r="D45" t="s">
        <v>43</v>
      </c>
      <c r="E45">
        <v>14</v>
      </c>
    </row>
    <row r="46" spans="1:5" x14ac:dyDescent="0.25">
      <c r="A46">
        <v>2026</v>
      </c>
      <c r="B46" t="s">
        <v>238</v>
      </c>
      <c r="C46" t="s">
        <v>18</v>
      </c>
      <c r="D46" t="s">
        <v>241</v>
      </c>
      <c r="E46">
        <v>17</v>
      </c>
    </row>
    <row r="47" spans="1:5" x14ac:dyDescent="0.25">
      <c r="A47">
        <v>2026</v>
      </c>
      <c r="B47" t="s">
        <v>238</v>
      </c>
      <c r="C47" t="s">
        <v>18</v>
      </c>
      <c r="D47" t="s">
        <v>242</v>
      </c>
      <c r="E47">
        <v>5</v>
      </c>
    </row>
    <row r="48" spans="1:5" x14ac:dyDescent="0.25">
      <c r="A48">
        <v>2026</v>
      </c>
      <c r="B48" t="s">
        <v>238</v>
      </c>
      <c r="C48" t="s">
        <v>18</v>
      </c>
      <c r="D48" t="s">
        <v>243</v>
      </c>
      <c r="E48">
        <v>8</v>
      </c>
    </row>
    <row r="49" spans="1:5" x14ac:dyDescent="0.25">
      <c r="A49">
        <v>2026</v>
      </c>
      <c r="B49" t="s">
        <v>238</v>
      </c>
      <c r="C49" t="s">
        <v>18</v>
      </c>
      <c r="D49" t="s">
        <v>244</v>
      </c>
      <c r="E49">
        <v>21</v>
      </c>
    </row>
    <row r="50" spans="1:5" x14ac:dyDescent="0.25">
      <c r="A50">
        <v>2026</v>
      </c>
      <c r="B50" t="s">
        <v>238</v>
      </c>
      <c r="C50" t="s">
        <v>18</v>
      </c>
      <c r="D50" t="s">
        <v>245</v>
      </c>
      <c r="E50">
        <v>2</v>
      </c>
    </row>
    <row r="51" spans="1:5" x14ac:dyDescent="0.25">
      <c r="A51">
        <v>2026</v>
      </c>
      <c r="B51" t="s">
        <v>238</v>
      </c>
      <c r="C51" t="s">
        <v>18</v>
      </c>
      <c r="D51" t="s">
        <v>246</v>
      </c>
      <c r="E51">
        <v>30</v>
      </c>
    </row>
    <row r="52" spans="1:5" x14ac:dyDescent="0.25">
      <c r="A52">
        <v>2026</v>
      </c>
      <c r="B52" t="s">
        <v>247</v>
      </c>
      <c r="C52" t="s">
        <v>32</v>
      </c>
      <c r="D52" t="s">
        <v>47</v>
      </c>
      <c r="E52">
        <v>9</v>
      </c>
    </row>
    <row r="53" spans="1:5" x14ac:dyDescent="0.25">
      <c r="A53">
        <v>2026</v>
      </c>
      <c r="B53" t="s">
        <v>247</v>
      </c>
      <c r="C53" t="s">
        <v>32</v>
      </c>
      <c r="D53" t="s">
        <v>248</v>
      </c>
      <c r="E53">
        <v>12</v>
      </c>
    </row>
    <row r="54" spans="1:5" x14ac:dyDescent="0.25">
      <c r="A54">
        <v>2026</v>
      </c>
      <c r="B54" t="s">
        <v>247</v>
      </c>
      <c r="C54" t="s">
        <v>32</v>
      </c>
      <c r="D54" t="s">
        <v>249</v>
      </c>
      <c r="E54">
        <v>6</v>
      </c>
    </row>
    <row r="55" spans="1:5" x14ac:dyDescent="0.25">
      <c r="A55">
        <v>2026</v>
      </c>
      <c r="B55" t="s">
        <v>247</v>
      </c>
      <c r="C55" t="s">
        <v>32</v>
      </c>
      <c r="D55" t="s">
        <v>250</v>
      </c>
      <c r="E55">
        <v>8</v>
      </c>
    </row>
    <row r="56" spans="1:5" x14ac:dyDescent="0.25">
      <c r="A56">
        <v>2026</v>
      </c>
      <c r="B56" t="s">
        <v>247</v>
      </c>
      <c r="C56" t="s">
        <v>32</v>
      </c>
      <c r="D56" t="s">
        <v>251</v>
      </c>
      <c r="E56">
        <v>50</v>
      </c>
    </row>
    <row r="57" spans="1:5" x14ac:dyDescent="0.25">
      <c r="A57">
        <v>2026</v>
      </c>
      <c r="B57" t="s">
        <v>247</v>
      </c>
      <c r="C57" t="s">
        <v>32</v>
      </c>
      <c r="D57" t="s">
        <v>252</v>
      </c>
      <c r="E57">
        <v>4</v>
      </c>
    </row>
    <row r="58" spans="1:5" x14ac:dyDescent="0.25">
      <c r="A58">
        <v>2026</v>
      </c>
      <c r="B58" t="s">
        <v>247</v>
      </c>
      <c r="C58" t="s">
        <v>32</v>
      </c>
      <c r="D58" t="s">
        <v>253</v>
      </c>
      <c r="E58">
        <v>2</v>
      </c>
    </row>
    <row r="59" spans="1:5" x14ac:dyDescent="0.25">
      <c r="A59">
        <v>2026</v>
      </c>
      <c r="B59" t="s">
        <v>247</v>
      </c>
      <c r="C59" t="s">
        <v>32</v>
      </c>
      <c r="D59" t="s">
        <v>254</v>
      </c>
      <c r="E59">
        <v>55</v>
      </c>
    </row>
    <row r="60" spans="1:5" x14ac:dyDescent="0.25">
      <c r="A60">
        <v>2026</v>
      </c>
      <c r="B60" t="s">
        <v>247</v>
      </c>
      <c r="C60" t="s">
        <v>32</v>
      </c>
      <c r="D60" t="s">
        <v>255</v>
      </c>
      <c r="E60">
        <v>7</v>
      </c>
    </row>
    <row r="61" spans="1:5" x14ac:dyDescent="0.25">
      <c r="A61">
        <v>2026</v>
      </c>
      <c r="B61" t="s">
        <v>247</v>
      </c>
      <c r="C61" t="s">
        <v>32</v>
      </c>
      <c r="D61" t="s">
        <v>256</v>
      </c>
      <c r="E61">
        <v>1</v>
      </c>
    </row>
    <row r="62" spans="1:5" x14ac:dyDescent="0.25">
      <c r="A62">
        <v>2026</v>
      </c>
      <c r="B62" t="s">
        <v>247</v>
      </c>
      <c r="C62" t="s">
        <v>32</v>
      </c>
      <c r="D62" t="s">
        <v>257</v>
      </c>
      <c r="E62">
        <v>3</v>
      </c>
    </row>
    <row r="63" spans="1:5" x14ac:dyDescent="0.25">
      <c r="A63">
        <v>2026</v>
      </c>
      <c r="B63" t="s">
        <v>258</v>
      </c>
      <c r="C63" t="s">
        <v>28</v>
      </c>
      <c r="D63" t="s">
        <v>259</v>
      </c>
      <c r="E63">
        <v>11</v>
      </c>
    </row>
    <row r="64" spans="1:5" x14ac:dyDescent="0.25">
      <c r="A64">
        <v>2026</v>
      </c>
      <c r="B64" t="s">
        <v>258</v>
      </c>
      <c r="C64" t="s">
        <v>28</v>
      </c>
      <c r="D64" t="s">
        <v>46</v>
      </c>
      <c r="E64">
        <v>17</v>
      </c>
    </row>
    <row r="65" spans="1:5" x14ac:dyDescent="0.25">
      <c r="A65">
        <v>2026</v>
      </c>
      <c r="B65" t="s">
        <v>258</v>
      </c>
      <c r="C65" t="s">
        <v>28</v>
      </c>
      <c r="D65" t="s">
        <v>260</v>
      </c>
      <c r="E65">
        <v>8</v>
      </c>
    </row>
    <row r="66" spans="1:5" x14ac:dyDescent="0.25">
      <c r="A66">
        <v>2026</v>
      </c>
      <c r="B66" t="s">
        <v>258</v>
      </c>
      <c r="C66" t="s">
        <v>28</v>
      </c>
      <c r="D66" t="s">
        <v>261</v>
      </c>
      <c r="E66">
        <v>7</v>
      </c>
    </row>
    <row r="67" spans="1:5" x14ac:dyDescent="0.25">
      <c r="A67">
        <v>2026</v>
      </c>
      <c r="B67" t="s">
        <v>258</v>
      </c>
      <c r="C67" t="s">
        <v>28</v>
      </c>
      <c r="D67" t="s">
        <v>262</v>
      </c>
      <c r="E67">
        <v>2</v>
      </c>
    </row>
    <row r="68" spans="1:5" x14ac:dyDescent="0.25">
      <c r="A68">
        <v>2026</v>
      </c>
      <c r="B68" t="s">
        <v>258</v>
      </c>
      <c r="C68" t="s">
        <v>28</v>
      </c>
      <c r="D68" t="s">
        <v>263</v>
      </c>
      <c r="E68">
        <v>10</v>
      </c>
    </row>
    <row r="69" spans="1:5" x14ac:dyDescent="0.25">
      <c r="A69">
        <v>2026</v>
      </c>
      <c r="B69" t="s">
        <v>258</v>
      </c>
      <c r="C69" t="s">
        <v>28</v>
      </c>
      <c r="D69" t="s">
        <v>264</v>
      </c>
      <c r="E69">
        <v>25</v>
      </c>
    </row>
    <row r="70" spans="1:5" x14ac:dyDescent="0.25">
      <c r="A70">
        <v>2026</v>
      </c>
      <c r="B70" t="s">
        <v>258</v>
      </c>
      <c r="C70" t="s">
        <v>28</v>
      </c>
      <c r="D70" t="s">
        <v>265</v>
      </c>
      <c r="E70">
        <v>32</v>
      </c>
    </row>
    <row r="71" spans="1:5" x14ac:dyDescent="0.25">
      <c r="A71">
        <v>2026</v>
      </c>
      <c r="B71" t="s">
        <v>258</v>
      </c>
      <c r="C71" t="s">
        <v>28</v>
      </c>
      <c r="D71" t="s">
        <v>266</v>
      </c>
      <c r="E71">
        <v>5</v>
      </c>
    </row>
    <row r="72" spans="1:5" x14ac:dyDescent="0.25">
      <c r="A72">
        <v>2026</v>
      </c>
      <c r="B72" t="s">
        <v>258</v>
      </c>
      <c r="C72" t="s">
        <v>28</v>
      </c>
      <c r="D72" t="s">
        <v>267</v>
      </c>
      <c r="E72">
        <v>13</v>
      </c>
    </row>
    <row r="73" spans="1:5" x14ac:dyDescent="0.25">
      <c r="A73">
        <v>2026</v>
      </c>
      <c r="B73" t="s">
        <v>268</v>
      </c>
      <c r="C73" t="s">
        <v>35</v>
      </c>
      <c r="D73" t="s">
        <v>48</v>
      </c>
      <c r="E73">
        <v>15</v>
      </c>
    </row>
    <row r="74" spans="1:5" x14ac:dyDescent="0.25">
      <c r="A74">
        <v>2026</v>
      </c>
      <c r="B74" t="s">
        <v>268</v>
      </c>
      <c r="C74" t="s">
        <v>35</v>
      </c>
      <c r="D74" t="s">
        <v>269</v>
      </c>
      <c r="E74">
        <v>9</v>
      </c>
    </row>
    <row r="75" spans="1:5" x14ac:dyDescent="0.25">
      <c r="A75">
        <v>2026</v>
      </c>
      <c r="B75" t="s">
        <v>268</v>
      </c>
      <c r="C75" t="s">
        <v>35</v>
      </c>
      <c r="D75" t="s">
        <v>270</v>
      </c>
      <c r="E75">
        <v>1</v>
      </c>
    </row>
    <row r="76" spans="1:5" x14ac:dyDescent="0.25">
      <c r="A76">
        <v>2026</v>
      </c>
      <c r="B76" t="s">
        <v>268</v>
      </c>
      <c r="C76" t="s">
        <v>35</v>
      </c>
      <c r="D76" t="s">
        <v>271</v>
      </c>
      <c r="E76">
        <v>55</v>
      </c>
    </row>
    <row r="77" spans="1:5" x14ac:dyDescent="0.25">
      <c r="A77">
        <v>2026</v>
      </c>
      <c r="B77" t="s">
        <v>268</v>
      </c>
      <c r="C77" t="s">
        <v>35</v>
      </c>
      <c r="D77" t="s">
        <v>272</v>
      </c>
      <c r="E77">
        <v>3</v>
      </c>
    </row>
    <row r="78" spans="1:5" x14ac:dyDescent="0.25">
      <c r="A78">
        <v>2026</v>
      </c>
      <c r="B78" t="s">
        <v>268</v>
      </c>
      <c r="C78" t="s">
        <v>35</v>
      </c>
      <c r="D78" t="s">
        <v>273</v>
      </c>
      <c r="E78">
        <v>10</v>
      </c>
    </row>
    <row r="79" spans="1:5" x14ac:dyDescent="0.25">
      <c r="A79">
        <v>2026</v>
      </c>
      <c r="B79" t="s">
        <v>268</v>
      </c>
      <c r="C79" t="s">
        <v>35</v>
      </c>
      <c r="D79" t="s">
        <v>274</v>
      </c>
      <c r="E79">
        <v>21</v>
      </c>
    </row>
    <row r="80" spans="1:5" x14ac:dyDescent="0.25">
      <c r="A80">
        <v>2026</v>
      </c>
      <c r="B80" t="s">
        <v>268</v>
      </c>
      <c r="C80" t="s">
        <v>35</v>
      </c>
      <c r="D80" t="s">
        <v>275</v>
      </c>
      <c r="E80">
        <v>8</v>
      </c>
    </row>
    <row r="81" spans="1:5" x14ac:dyDescent="0.25">
      <c r="A81">
        <v>2026</v>
      </c>
      <c r="B81" t="s">
        <v>268</v>
      </c>
      <c r="C81" t="s">
        <v>35</v>
      </c>
      <c r="D81" t="s">
        <v>276</v>
      </c>
      <c r="E81">
        <v>23</v>
      </c>
    </row>
    <row r="82" spans="1:5" x14ac:dyDescent="0.25">
      <c r="A82">
        <v>2026</v>
      </c>
      <c r="B82" t="s">
        <v>268</v>
      </c>
      <c r="C82" t="s">
        <v>35</v>
      </c>
      <c r="D82" t="s">
        <v>277</v>
      </c>
      <c r="E82">
        <v>12</v>
      </c>
    </row>
    <row r="83" spans="1:5" x14ac:dyDescent="0.25">
      <c r="A83">
        <v>2026</v>
      </c>
      <c r="B83" t="s">
        <v>268</v>
      </c>
      <c r="C83" t="s">
        <v>35</v>
      </c>
      <c r="D83" t="s">
        <v>278</v>
      </c>
      <c r="E83">
        <v>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41"/>
  <sheetViews>
    <sheetView topLeftCell="A2" zoomScale="80" zoomScaleNormal="80" workbookViewId="0">
      <selection activeCell="J23" sqref="J23"/>
    </sheetView>
  </sheetViews>
  <sheetFormatPr defaultColWidth="24.28515625" defaultRowHeight="15" x14ac:dyDescent="0.25"/>
  <cols>
    <col min="1" max="1" width="12.85546875" bestFit="1" customWidth="1"/>
    <col min="2" max="2" width="13.42578125" bestFit="1" customWidth="1"/>
    <col min="3" max="3" width="15.5703125" bestFit="1" customWidth="1"/>
    <col min="4" max="4" width="9.28515625" bestFit="1" customWidth="1"/>
    <col min="5" max="5" width="11.28515625" style="2" bestFit="1" customWidth="1"/>
    <col min="6" max="6" width="8.5703125" style="3" bestFit="1" customWidth="1"/>
    <col min="7" max="7" width="32.140625" bestFit="1" customWidth="1"/>
    <col min="8" max="9" width="24.28515625" bestFit="1" customWidth="1"/>
    <col min="10" max="10" width="23.42578125" bestFit="1" customWidth="1"/>
    <col min="11" max="11" width="22.7109375" bestFit="1" customWidth="1"/>
    <col min="12" max="12" width="26.5703125" bestFit="1" customWidth="1"/>
    <col min="13" max="13" width="25.7109375" bestFit="1" customWidth="1"/>
    <col min="14" max="14" width="14.85546875" bestFit="1" customWidth="1"/>
    <col min="15" max="15" width="14.28515625" bestFit="1" customWidth="1"/>
    <col min="16" max="16" width="20.140625" bestFit="1" customWidth="1"/>
    <col min="17" max="17" width="11.42578125" bestFit="1" customWidth="1"/>
    <col min="18" max="18" width="14.28515625" bestFit="1" customWidth="1"/>
    <col min="19" max="19" width="23.85546875" style="1" bestFit="1" customWidth="1"/>
    <col min="20" max="20" width="28.5703125" style="1" bestFit="1" customWidth="1"/>
  </cols>
  <sheetData>
    <row r="1" spans="1:20" x14ac:dyDescent="0.25">
      <c r="A1" t="s">
        <v>279</v>
      </c>
      <c r="B1" t="s">
        <v>0</v>
      </c>
      <c r="C1" t="s">
        <v>280</v>
      </c>
      <c r="D1" t="s">
        <v>281</v>
      </c>
      <c r="E1" s="2" t="s">
        <v>282</v>
      </c>
      <c r="F1" s="3" t="s">
        <v>283</v>
      </c>
      <c r="G1" t="s">
        <v>284</v>
      </c>
      <c r="H1" t="s">
        <v>285</v>
      </c>
      <c r="I1" t="s">
        <v>286</v>
      </c>
      <c r="J1" t="s">
        <v>287</v>
      </c>
      <c r="K1" t="s">
        <v>288</v>
      </c>
      <c r="L1" t="s">
        <v>289</v>
      </c>
      <c r="M1" t="s">
        <v>290</v>
      </c>
      <c r="N1" t="s">
        <v>291</v>
      </c>
      <c r="O1" t="s">
        <v>292</v>
      </c>
      <c r="P1" t="s">
        <v>293</v>
      </c>
      <c r="Q1" t="s">
        <v>294</v>
      </c>
      <c r="R1" t="s">
        <v>295</v>
      </c>
      <c r="S1" s="1" t="s">
        <v>296</v>
      </c>
      <c r="T1" s="1" t="s">
        <v>297</v>
      </c>
    </row>
    <row r="2" spans="1:20" ht="165" customHeight="1" x14ac:dyDescent="0.25">
      <c r="A2" t="str">
        <f>B2&amp;"-w"&amp;D2&amp;"-g"&amp;TEXT(COUNTIFS($B$2:B2,B2,$D$2:D2,D2),"00")</f>
        <v>2026-w1-g01</v>
      </c>
      <c r="B2">
        <v>2026</v>
      </c>
      <c r="C2" t="s">
        <v>298</v>
      </c>
      <c r="D2">
        <v>1</v>
      </c>
      <c r="E2" s="2">
        <v>46112</v>
      </c>
      <c r="F2" s="3">
        <v>0.77083333333333337</v>
      </c>
      <c r="G2" t="s">
        <v>299</v>
      </c>
      <c r="H2" t="s">
        <v>10</v>
      </c>
      <c r="I2" t="s">
        <v>14</v>
      </c>
      <c r="J2">
        <v>31</v>
      </c>
      <c r="K2">
        <v>18</v>
      </c>
      <c r="L2">
        <v>27</v>
      </c>
      <c r="M2">
        <v>30</v>
      </c>
      <c r="N2">
        <v>58</v>
      </c>
      <c r="O2">
        <v>48</v>
      </c>
      <c r="P2">
        <v>0</v>
      </c>
      <c r="Q2" t="s">
        <v>300</v>
      </c>
      <c r="R2" t="s">
        <v>301</v>
      </c>
      <c r="S2" s="1" t="s">
        <v>302</v>
      </c>
      <c r="T2" s="1" t="s">
        <v>303</v>
      </c>
    </row>
    <row r="3" spans="1:20" ht="150" customHeight="1" x14ac:dyDescent="0.25">
      <c r="A3" t="str">
        <f>B3&amp;"-w"&amp;D3&amp;"-g"&amp;TEXT(COUNTIFS($B$2:B3,B3,$D$2:D3,D3),"00")</f>
        <v>2026-w1-g02</v>
      </c>
      <c r="B3">
        <v>2026</v>
      </c>
      <c r="C3" t="s">
        <v>298</v>
      </c>
      <c r="D3">
        <v>1</v>
      </c>
      <c r="E3" s="2">
        <v>46112</v>
      </c>
      <c r="F3" s="3">
        <v>0.8125</v>
      </c>
      <c r="G3" t="s">
        <v>299</v>
      </c>
      <c r="H3" t="s">
        <v>25</v>
      </c>
      <c r="I3" t="s">
        <v>18</v>
      </c>
      <c r="J3">
        <v>34</v>
      </c>
      <c r="K3">
        <v>24</v>
      </c>
      <c r="L3">
        <v>20</v>
      </c>
      <c r="M3">
        <v>32</v>
      </c>
      <c r="N3">
        <v>54</v>
      </c>
      <c r="O3">
        <v>56</v>
      </c>
      <c r="P3">
        <v>0</v>
      </c>
      <c r="Q3" t="s">
        <v>300</v>
      </c>
      <c r="R3" t="s">
        <v>301</v>
      </c>
      <c r="S3" s="1" t="s">
        <v>304</v>
      </c>
      <c r="T3" s="1" t="s">
        <v>305</v>
      </c>
    </row>
    <row r="4" spans="1:20" x14ac:dyDescent="0.25">
      <c r="A4" t="str">
        <f>B4&amp;"-w"&amp;D4&amp;"-g"&amp;TEXT(COUNTIFS($B$2:B4,B4,$D$2:D4,D4),"00")</f>
        <v>2026-w2-g01</v>
      </c>
      <c r="B4">
        <v>2026</v>
      </c>
      <c r="C4" t="s">
        <v>298</v>
      </c>
      <c r="D4">
        <v>2</v>
      </c>
      <c r="E4" s="2">
        <v>46125</v>
      </c>
      <c r="F4" s="3">
        <v>0.77083333333333337</v>
      </c>
      <c r="G4" t="s">
        <v>299</v>
      </c>
      <c r="H4" t="s">
        <v>28</v>
      </c>
      <c r="I4" t="s">
        <v>32</v>
      </c>
      <c r="J4">
        <v>18</v>
      </c>
      <c r="K4">
        <v>30</v>
      </c>
      <c r="L4">
        <v>15</v>
      </c>
      <c r="M4">
        <v>18</v>
      </c>
      <c r="N4">
        <v>33</v>
      </c>
      <c r="O4">
        <v>48</v>
      </c>
      <c r="P4">
        <v>0</v>
      </c>
      <c r="Q4" t="s">
        <v>300</v>
      </c>
      <c r="R4" t="s">
        <v>301</v>
      </c>
    </row>
    <row r="5" spans="1:20" x14ac:dyDescent="0.25">
      <c r="A5" t="str">
        <f>B5&amp;"-w"&amp;D5&amp;"-g"&amp;TEXT(COUNTIFS($B$2:B5,B5,$D$2:D5,D5),"00")</f>
        <v>2026-w2-g02</v>
      </c>
      <c r="B5">
        <v>2026</v>
      </c>
      <c r="C5" t="s">
        <v>298</v>
      </c>
      <c r="D5">
        <v>2</v>
      </c>
      <c r="E5" s="2">
        <v>46125</v>
      </c>
      <c r="F5" s="3">
        <v>0.8125</v>
      </c>
      <c r="G5" t="s">
        <v>299</v>
      </c>
      <c r="H5" t="s">
        <v>35</v>
      </c>
      <c r="I5" t="s">
        <v>18</v>
      </c>
      <c r="N5">
        <v>41</v>
      </c>
      <c r="O5">
        <v>38</v>
      </c>
      <c r="P5">
        <v>0</v>
      </c>
      <c r="Q5" t="s">
        <v>300</v>
      </c>
      <c r="R5" t="s">
        <v>301</v>
      </c>
    </row>
    <row r="6" spans="1:20" x14ac:dyDescent="0.25">
      <c r="A6" t="str">
        <f>B6&amp;"-w"&amp;D6&amp;"-g"&amp;TEXT(COUNTIFS($B$2:B6,B6,$D$2:D6,D6),"00")</f>
        <v>2026-w2-g03</v>
      </c>
      <c r="B6">
        <v>2026</v>
      </c>
      <c r="C6" t="s">
        <v>298</v>
      </c>
      <c r="D6">
        <v>2</v>
      </c>
      <c r="E6" s="2">
        <v>46125</v>
      </c>
      <c r="F6" s="3">
        <v>0.85416666666666663</v>
      </c>
      <c r="G6" t="s">
        <v>299</v>
      </c>
      <c r="H6" t="s">
        <v>25</v>
      </c>
      <c r="I6" t="s">
        <v>10</v>
      </c>
      <c r="J6">
        <v>19</v>
      </c>
      <c r="K6">
        <v>24</v>
      </c>
      <c r="L6">
        <v>25</v>
      </c>
      <c r="M6">
        <v>30</v>
      </c>
      <c r="N6">
        <v>44</v>
      </c>
      <c r="O6">
        <v>54</v>
      </c>
      <c r="P6">
        <v>0</v>
      </c>
      <c r="Q6" t="s">
        <v>300</v>
      </c>
      <c r="R6" t="s">
        <v>301</v>
      </c>
    </row>
    <row r="7" spans="1:20" x14ac:dyDescent="0.25">
      <c r="A7" t="str">
        <f>B7&amp;"-w"&amp;D7&amp;"-g"&amp;TEXT(COUNTIFS($B$2:B7,B7,$D$2:D7,D7),"00")</f>
        <v>2026-w2-g04</v>
      </c>
      <c r="B7">
        <v>2026</v>
      </c>
      <c r="C7" t="s">
        <v>298</v>
      </c>
      <c r="D7">
        <v>2</v>
      </c>
      <c r="E7" s="2">
        <v>46126</v>
      </c>
      <c r="F7" s="3">
        <v>0.8125</v>
      </c>
      <c r="G7" t="s">
        <v>299</v>
      </c>
      <c r="H7" t="s">
        <v>21</v>
      </c>
      <c r="I7" t="s">
        <v>28</v>
      </c>
      <c r="N7">
        <v>52</v>
      </c>
      <c r="O7">
        <v>40</v>
      </c>
      <c r="P7">
        <v>0</v>
      </c>
      <c r="Q7" t="s">
        <v>300</v>
      </c>
      <c r="R7" t="s">
        <v>301</v>
      </c>
    </row>
    <row r="8" spans="1:20" x14ac:dyDescent="0.25">
      <c r="A8" t="str">
        <f>B8&amp;"-w"&amp;D8&amp;"-g"&amp;TEXT(COUNTIFS($B$2:B8,B8,$D$2:D8,D8),"00")</f>
        <v>2026-w2-g05</v>
      </c>
      <c r="B8">
        <v>2026</v>
      </c>
      <c r="C8" t="s">
        <v>298</v>
      </c>
      <c r="D8">
        <v>2</v>
      </c>
      <c r="E8" s="2">
        <v>46126</v>
      </c>
      <c r="F8" s="3">
        <v>0.85416666666666663</v>
      </c>
      <c r="G8" t="s">
        <v>299</v>
      </c>
      <c r="H8" t="s">
        <v>14</v>
      </c>
      <c r="I8" t="s">
        <v>35</v>
      </c>
      <c r="N8">
        <v>70</v>
      </c>
      <c r="O8">
        <v>39</v>
      </c>
      <c r="P8">
        <v>0</v>
      </c>
      <c r="Q8" t="s">
        <v>300</v>
      </c>
      <c r="R8" t="s">
        <v>301</v>
      </c>
    </row>
    <row r="9" spans="1:20" x14ac:dyDescent="0.25">
      <c r="A9" t="str">
        <f>B9&amp;"-w"&amp;D9&amp;"-g"&amp;TEXT(COUNTIFS($B$2:B9,B9,$D$2:D9,D9),"00")</f>
        <v>2026-w2-g06</v>
      </c>
      <c r="B9">
        <v>2026</v>
      </c>
      <c r="C9" t="s">
        <v>298</v>
      </c>
      <c r="D9">
        <v>2</v>
      </c>
      <c r="E9" s="2">
        <v>46128</v>
      </c>
      <c r="F9" s="3">
        <v>0.77083333333333337</v>
      </c>
      <c r="G9" t="s">
        <v>299</v>
      </c>
      <c r="H9" t="s">
        <v>32</v>
      </c>
      <c r="I9" t="s">
        <v>14</v>
      </c>
      <c r="J9">
        <v>20</v>
      </c>
      <c r="K9">
        <v>20</v>
      </c>
      <c r="L9">
        <v>29</v>
      </c>
      <c r="M9">
        <v>12</v>
      </c>
      <c r="N9">
        <v>49</v>
      </c>
      <c r="O9">
        <v>32</v>
      </c>
      <c r="P9">
        <v>0</v>
      </c>
      <c r="Q9" t="s">
        <v>300</v>
      </c>
      <c r="R9" t="s">
        <v>301</v>
      </c>
    </row>
    <row r="10" spans="1:20" x14ac:dyDescent="0.25">
      <c r="A10" t="str">
        <f>B10&amp;"-w"&amp;D10&amp;"-g"&amp;TEXT(COUNTIFS($B$2:B10,B10,$D$2:D10,D10),"00")</f>
        <v>2026-w2-g07</v>
      </c>
      <c r="B10">
        <v>2026</v>
      </c>
      <c r="C10" t="s">
        <v>298</v>
      </c>
      <c r="D10">
        <v>2</v>
      </c>
      <c r="E10" s="2">
        <v>46128</v>
      </c>
      <c r="F10" s="3">
        <v>0.8125</v>
      </c>
      <c r="G10" t="s">
        <v>299</v>
      </c>
      <c r="H10" t="s">
        <v>10</v>
      </c>
      <c r="I10" t="s">
        <v>18</v>
      </c>
      <c r="J10">
        <v>26</v>
      </c>
      <c r="K10">
        <v>19</v>
      </c>
      <c r="L10">
        <v>19</v>
      </c>
      <c r="M10">
        <v>34</v>
      </c>
      <c r="N10">
        <v>45</v>
      </c>
      <c r="O10">
        <v>53</v>
      </c>
      <c r="P10">
        <v>0</v>
      </c>
      <c r="Q10" t="s">
        <v>300</v>
      </c>
      <c r="R10" t="s">
        <v>301</v>
      </c>
    </row>
    <row r="11" spans="1:20" x14ac:dyDescent="0.25">
      <c r="A11" t="str">
        <f>B11&amp;"-w"&amp;D11&amp;"-g"&amp;TEXT(COUNTIFS($B$2:B11,B11,$D$2:D11,D11),"00")</f>
        <v>2026-w2-g08</v>
      </c>
      <c r="B11">
        <v>2026</v>
      </c>
      <c r="C11" t="s">
        <v>298</v>
      </c>
      <c r="D11">
        <v>2</v>
      </c>
      <c r="E11" s="2">
        <v>46128</v>
      </c>
      <c r="F11" s="3">
        <v>0.85416666666666663</v>
      </c>
      <c r="G11" t="s">
        <v>299</v>
      </c>
      <c r="H11" t="s">
        <v>21</v>
      </c>
      <c r="I11" t="s">
        <v>25</v>
      </c>
      <c r="J11">
        <v>20</v>
      </c>
      <c r="K11">
        <v>34</v>
      </c>
      <c r="L11">
        <v>36</v>
      </c>
      <c r="M11">
        <v>35</v>
      </c>
      <c r="N11">
        <v>56</v>
      </c>
      <c r="O11">
        <v>69</v>
      </c>
      <c r="P11">
        <v>0</v>
      </c>
      <c r="Q11" t="s">
        <v>300</v>
      </c>
      <c r="R11" t="s">
        <v>301</v>
      </c>
    </row>
    <row r="12" spans="1:20" x14ac:dyDescent="0.25">
      <c r="A12" t="str">
        <f>B12&amp;"-w"&amp;D12&amp;"-g"&amp;TEXT(COUNTIFS($B$2:B12,B12,$D$2:D12,D12),"00")</f>
        <v>2026-w3-g01</v>
      </c>
      <c r="B12">
        <v>2026</v>
      </c>
      <c r="C12" t="s">
        <v>298</v>
      </c>
      <c r="D12">
        <v>3</v>
      </c>
      <c r="E12" s="2">
        <v>46132</v>
      </c>
      <c r="F12" s="3">
        <v>0.77083333333333337</v>
      </c>
      <c r="G12" t="s">
        <v>299</v>
      </c>
      <c r="H12" t="s">
        <v>32</v>
      </c>
      <c r="I12" t="s">
        <v>35</v>
      </c>
      <c r="J12">
        <v>29</v>
      </c>
      <c r="K12">
        <v>10</v>
      </c>
      <c r="L12">
        <v>32</v>
      </c>
      <c r="M12">
        <v>22</v>
      </c>
      <c r="N12">
        <v>61</v>
      </c>
      <c r="O12">
        <v>32</v>
      </c>
      <c r="P12">
        <v>0</v>
      </c>
      <c r="Q12" t="s">
        <v>300</v>
      </c>
      <c r="R12" t="s">
        <v>301</v>
      </c>
    </row>
    <row r="13" spans="1:20" x14ac:dyDescent="0.25">
      <c r="A13" t="str">
        <f>B13&amp;"-w"&amp;D13&amp;"-g"&amp;TEXT(COUNTIFS($B$2:B13,B13,$D$2:D13,D13),"00")</f>
        <v>2026-w3-g02</v>
      </c>
      <c r="B13">
        <v>2026</v>
      </c>
      <c r="C13" t="s">
        <v>298</v>
      </c>
      <c r="D13">
        <v>3</v>
      </c>
      <c r="E13" s="2">
        <v>46132</v>
      </c>
      <c r="F13" s="3">
        <v>0.8125</v>
      </c>
      <c r="G13" t="s">
        <v>299</v>
      </c>
      <c r="H13" t="s">
        <v>28</v>
      </c>
      <c r="I13" t="s">
        <v>21</v>
      </c>
      <c r="J13">
        <v>19</v>
      </c>
      <c r="K13">
        <v>23</v>
      </c>
      <c r="L13">
        <v>23</v>
      </c>
      <c r="M13">
        <v>37</v>
      </c>
      <c r="N13">
        <v>42</v>
      </c>
      <c r="O13">
        <v>60</v>
      </c>
      <c r="P13">
        <v>0</v>
      </c>
      <c r="Q13" t="s">
        <v>300</v>
      </c>
      <c r="R13" t="s">
        <v>301</v>
      </c>
    </row>
    <row r="14" spans="1:20" x14ac:dyDescent="0.25">
      <c r="A14" t="str">
        <f>B14&amp;"-w"&amp;D14&amp;"-g"&amp;TEXT(COUNTIFS($B$2:B14,B14,$D$2:D14,D14),"00")</f>
        <v>2026-w3-g03</v>
      </c>
      <c r="B14">
        <v>2026</v>
      </c>
      <c r="C14" t="s">
        <v>298</v>
      </c>
      <c r="D14">
        <v>3</v>
      </c>
      <c r="E14" s="2">
        <v>46134</v>
      </c>
      <c r="F14" s="3">
        <v>0.77083333333333337</v>
      </c>
      <c r="G14" t="s">
        <v>299</v>
      </c>
      <c r="H14" t="s">
        <v>14</v>
      </c>
      <c r="I14" t="s">
        <v>25</v>
      </c>
      <c r="N14">
        <v>55</v>
      </c>
      <c r="O14">
        <v>45</v>
      </c>
      <c r="P14">
        <v>0</v>
      </c>
      <c r="Q14" t="s">
        <v>300</v>
      </c>
      <c r="R14" t="s">
        <v>301</v>
      </c>
    </row>
    <row r="15" spans="1:20" x14ac:dyDescent="0.25">
      <c r="A15" t="str">
        <f>B15&amp;"-w"&amp;D15&amp;"-g"&amp;TEXT(COUNTIFS($B$2:B15,B15,$D$2:D15,D15),"00")</f>
        <v>2026-w3-g04</v>
      </c>
      <c r="B15">
        <v>2026</v>
      </c>
      <c r="C15" t="s">
        <v>298</v>
      </c>
      <c r="D15">
        <v>3</v>
      </c>
      <c r="E15" s="2">
        <v>46134</v>
      </c>
      <c r="F15" s="3">
        <v>0.8125</v>
      </c>
      <c r="G15" t="s">
        <v>299</v>
      </c>
      <c r="H15" t="s">
        <v>35</v>
      </c>
      <c r="I15" t="s">
        <v>10</v>
      </c>
      <c r="N15">
        <v>40</v>
      </c>
      <c r="O15">
        <v>87</v>
      </c>
      <c r="P15">
        <v>0</v>
      </c>
      <c r="Q15" t="s">
        <v>300</v>
      </c>
      <c r="R15" t="s">
        <v>301</v>
      </c>
    </row>
    <row r="16" spans="1:20" x14ac:dyDescent="0.25">
      <c r="A16" t="str">
        <f>B16&amp;"-w"&amp;D16&amp;"-g"&amp;TEXT(COUNTIFS($B$2:B16,B16,$D$2:D16,D16),"00")</f>
        <v>2026-w3-g05</v>
      </c>
      <c r="B16">
        <v>2026</v>
      </c>
      <c r="C16" t="s">
        <v>298</v>
      </c>
      <c r="D16">
        <v>3</v>
      </c>
      <c r="E16" s="2">
        <v>46134</v>
      </c>
      <c r="F16" s="3">
        <v>0.85416666666666663</v>
      </c>
      <c r="G16" t="s">
        <v>299</v>
      </c>
      <c r="H16" t="s">
        <v>21</v>
      </c>
      <c r="I16" t="s">
        <v>18</v>
      </c>
      <c r="N16">
        <v>64</v>
      </c>
      <c r="O16">
        <v>48</v>
      </c>
      <c r="P16">
        <v>0</v>
      </c>
      <c r="Q16" t="s">
        <v>300</v>
      </c>
      <c r="R16" t="s">
        <v>301</v>
      </c>
    </row>
    <row r="17" spans="1:18" x14ac:dyDescent="0.25">
      <c r="A17" t="str">
        <f>B17&amp;"-w"&amp;D17&amp;"-g"&amp;TEXT(COUNTIFS($B$2:B17,B17,$D$2:D17,D17),"00")</f>
        <v>2026-w3-g06</v>
      </c>
      <c r="B17">
        <v>2026</v>
      </c>
      <c r="C17" t="s">
        <v>298</v>
      </c>
      <c r="D17">
        <v>3</v>
      </c>
      <c r="E17" s="2">
        <v>46135</v>
      </c>
      <c r="F17" s="3">
        <v>0.8125</v>
      </c>
      <c r="G17" t="s">
        <v>299</v>
      </c>
      <c r="H17" t="s">
        <v>18</v>
      </c>
      <c r="I17" t="s">
        <v>14</v>
      </c>
      <c r="J17">
        <v>15</v>
      </c>
      <c r="K17">
        <v>34</v>
      </c>
      <c r="L17">
        <v>13</v>
      </c>
      <c r="M17">
        <v>32</v>
      </c>
      <c r="N17">
        <v>28</v>
      </c>
      <c r="O17">
        <v>66</v>
      </c>
      <c r="P17">
        <v>0</v>
      </c>
      <c r="Q17" t="s">
        <v>300</v>
      </c>
      <c r="R17" t="s">
        <v>301</v>
      </c>
    </row>
    <row r="18" spans="1:18" x14ac:dyDescent="0.25">
      <c r="A18" t="str">
        <f>B18&amp;"-w"&amp;D18&amp;"-g"&amp;TEXT(COUNTIFS($B$2:B18,B18,$D$2:D18,D18),"00")</f>
        <v>2026-w3-g07</v>
      </c>
      <c r="B18">
        <v>2026</v>
      </c>
      <c r="C18" t="s">
        <v>298</v>
      </c>
      <c r="D18">
        <v>3</v>
      </c>
      <c r="E18" s="2">
        <v>46135</v>
      </c>
      <c r="F18" s="3">
        <v>0.85416666666666663</v>
      </c>
      <c r="G18" t="s">
        <v>299</v>
      </c>
      <c r="H18" t="s">
        <v>32</v>
      </c>
      <c r="I18" t="s">
        <v>28</v>
      </c>
      <c r="J18">
        <v>29</v>
      </c>
      <c r="K18">
        <v>20</v>
      </c>
      <c r="L18">
        <v>25</v>
      </c>
      <c r="M18">
        <v>25</v>
      </c>
      <c r="N18">
        <v>54</v>
      </c>
      <c r="O18">
        <v>45</v>
      </c>
      <c r="P18">
        <v>0</v>
      </c>
      <c r="Q18" t="s">
        <v>300</v>
      </c>
      <c r="R18" t="s">
        <v>301</v>
      </c>
    </row>
    <row r="19" spans="1:18" x14ac:dyDescent="0.25">
      <c r="A19" t="str">
        <f>B19&amp;"-w"&amp;D19&amp;"-g"&amp;TEXT(COUNTIFS($B$2:B19,B19,$D$2:D19,D19),"00")</f>
        <v>2026-w4-g01</v>
      </c>
      <c r="B19">
        <v>2026</v>
      </c>
      <c r="C19" t="s">
        <v>298</v>
      </c>
      <c r="D19">
        <v>4</v>
      </c>
      <c r="E19" s="2">
        <v>46140</v>
      </c>
      <c r="F19" s="3">
        <v>0.77083333333333337</v>
      </c>
      <c r="G19" t="s">
        <v>299</v>
      </c>
      <c r="H19" t="s">
        <v>21</v>
      </c>
      <c r="I19" t="s">
        <v>35</v>
      </c>
      <c r="N19">
        <v>83</v>
      </c>
      <c r="O19">
        <v>55</v>
      </c>
      <c r="P19">
        <v>0</v>
      </c>
      <c r="Q19" t="s">
        <v>300</v>
      </c>
      <c r="R19" t="s">
        <v>301</v>
      </c>
    </row>
    <row r="20" spans="1:18" x14ac:dyDescent="0.25">
      <c r="A20" t="str">
        <f>B20&amp;"-w"&amp;D20&amp;"-g"&amp;TEXT(COUNTIFS($B$2:B20,B20,$D$2:D20,D20),"00")</f>
        <v>2026-w4-g02</v>
      </c>
      <c r="B20">
        <v>2026</v>
      </c>
      <c r="C20" t="s">
        <v>298</v>
      </c>
      <c r="D20">
        <v>4</v>
      </c>
      <c r="E20" s="2">
        <v>46140</v>
      </c>
      <c r="F20" s="3">
        <v>0.8125</v>
      </c>
      <c r="G20" t="s">
        <v>299</v>
      </c>
      <c r="H20" t="s">
        <v>25</v>
      </c>
      <c r="I20" t="s">
        <v>28</v>
      </c>
      <c r="N20">
        <v>45</v>
      </c>
      <c r="O20">
        <v>48</v>
      </c>
      <c r="P20">
        <v>0</v>
      </c>
      <c r="Q20" t="s">
        <v>300</v>
      </c>
      <c r="R20" t="s">
        <v>301</v>
      </c>
    </row>
    <row r="21" spans="1:18" x14ac:dyDescent="0.25">
      <c r="A21" t="str">
        <f>B21&amp;"-w"&amp;D21&amp;"-g"&amp;TEXT(COUNTIFS($B$2:B21,B21,$D$2:D21,D21),"00")</f>
        <v>2026-w4-g03</v>
      </c>
      <c r="B21">
        <v>2026</v>
      </c>
      <c r="C21" t="s">
        <v>298</v>
      </c>
      <c r="D21">
        <v>4</v>
      </c>
      <c r="E21" s="2">
        <v>46140</v>
      </c>
      <c r="F21" s="3">
        <v>0.85416666666666663</v>
      </c>
      <c r="G21" t="s">
        <v>299</v>
      </c>
      <c r="H21" t="s">
        <v>10</v>
      </c>
      <c r="I21" t="s">
        <v>32</v>
      </c>
      <c r="J21">
        <v>26</v>
      </c>
      <c r="K21">
        <v>15</v>
      </c>
      <c r="L21">
        <v>24</v>
      </c>
      <c r="M21">
        <v>10</v>
      </c>
      <c r="N21">
        <v>50</v>
      </c>
      <c r="O21">
        <v>25</v>
      </c>
      <c r="P21">
        <v>0</v>
      </c>
      <c r="Q21" t="s">
        <v>300</v>
      </c>
      <c r="R21" t="s">
        <v>301</v>
      </c>
    </row>
    <row r="22" spans="1:18" x14ac:dyDescent="0.25">
      <c r="A22" t="str">
        <f>B22&amp;"-w"&amp;D22&amp;"-g"&amp;TEXT(COUNTIFS($B$2:B22,B22,$D$2:D22,D22),"00")</f>
        <v>2026-w4-g04</v>
      </c>
      <c r="B22">
        <v>2026</v>
      </c>
      <c r="C22" t="s">
        <v>298</v>
      </c>
      <c r="D22">
        <v>4</v>
      </c>
      <c r="E22" s="2">
        <v>46141</v>
      </c>
      <c r="F22" s="3">
        <v>0.77083333333333337</v>
      </c>
      <c r="G22" t="s">
        <v>299</v>
      </c>
      <c r="H22" t="s">
        <v>14</v>
      </c>
      <c r="I22" t="s">
        <v>28</v>
      </c>
      <c r="J22">
        <v>32</v>
      </c>
      <c r="K22">
        <v>32</v>
      </c>
      <c r="L22">
        <v>27</v>
      </c>
      <c r="M22">
        <v>16</v>
      </c>
      <c r="N22">
        <v>59</v>
      </c>
      <c r="O22">
        <v>48</v>
      </c>
      <c r="P22">
        <v>0</v>
      </c>
      <c r="Q22" t="s">
        <v>300</v>
      </c>
      <c r="R22" t="s">
        <v>301</v>
      </c>
    </row>
    <row r="23" spans="1:18" x14ac:dyDescent="0.25">
      <c r="A23" t="str">
        <f>B23&amp;"-w"&amp;D23&amp;"-g"&amp;TEXT(COUNTIFS($B$2:B23,B23,$D$2:D23,D23),"00")</f>
        <v>2026-w4-g05</v>
      </c>
      <c r="B23">
        <v>2026</v>
      </c>
      <c r="C23" t="s">
        <v>298</v>
      </c>
      <c r="D23">
        <v>4</v>
      </c>
      <c r="E23" s="2">
        <v>46141</v>
      </c>
      <c r="F23" s="3">
        <v>0.8125</v>
      </c>
      <c r="G23" t="s">
        <v>299</v>
      </c>
      <c r="H23" t="s">
        <v>32</v>
      </c>
      <c r="I23" t="s">
        <v>21</v>
      </c>
      <c r="J23">
        <v>31</v>
      </c>
      <c r="K23">
        <v>26</v>
      </c>
      <c r="L23">
        <v>22</v>
      </c>
      <c r="M23">
        <v>27</v>
      </c>
      <c r="N23">
        <v>53</v>
      </c>
      <c r="O23">
        <v>62</v>
      </c>
      <c r="P23">
        <v>1</v>
      </c>
      <c r="Q23" t="s">
        <v>300</v>
      </c>
      <c r="R23" t="s">
        <v>301</v>
      </c>
    </row>
    <row r="24" spans="1:18" x14ac:dyDescent="0.25">
      <c r="A24" t="str">
        <f>B24&amp;"-w"&amp;D24&amp;"-g"&amp;TEXT(COUNTIFS($B$2:B24,B24,$D$2:D24,D24),"00")</f>
        <v>2026-w5-g01</v>
      </c>
      <c r="B24">
        <v>2026</v>
      </c>
      <c r="C24" t="s">
        <v>298</v>
      </c>
      <c r="D24">
        <v>5</v>
      </c>
      <c r="E24" s="2">
        <v>46146</v>
      </c>
      <c r="F24" s="3">
        <v>0.8125</v>
      </c>
      <c r="G24" t="s">
        <v>299</v>
      </c>
      <c r="H24" t="s">
        <v>35</v>
      </c>
      <c r="I24" t="s">
        <v>10</v>
      </c>
      <c r="J24">
        <v>19</v>
      </c>
      <c r="K24">
        <v>39</v>
      </c>
      <c r="L24">
        <v>17</v>
      </c>
      <c r="M24">
        <v>49</v>
      </c>
      <c r="N24">
        <v>36</v>
      </c>
      <c r="O24">
        <v>88</v>
      </c>
      <c r="P24">
        <v>0</v>
      </c>
      <c r="Q24" t="s">
        <v>300</v>
      </c>
      <c r="R24" t="s">
        <v>301</v>
      </c>
    </row>
    <row r="25" spans="1:18" x14ac:dyDescent="0.25">
      <c r="A25" t="str">
        <f>B25&amp;"-w"&amp;D25&amp;"-g"&amp;TEXT(COUNTIFS($B$2:B25,B25,$D$2:D25,D25),"00")</f>
        <v>2026-w5-g02</v>
      </c>
      <c r="B25">
        <v>2026</v>
      </c>
      <c r="C25" t="s">
        <v>298</v>
      </c>
      <c r="D25">
        <v>5</v>
      </c>
      <c r="E25" s="2">
        <v>46146</v>
      </c>
      <c r="F25" s="3">
        <v>0.85416666666666663</v>
      </c>
      <c r="G25" t="s">
        <v>299</v>
      </c>
      <c r="H25" t="s">
        <v>18</v>
      </c>
      <c r="I25" t="s">
        <v>25</v>
      </c>
      <c r="J25">
        <v>23</v>
      </c>
      <c r="K25">
        <v>39</v>
      </c>
      <c r="L25">
        <v>29</v>
      </c>
      <c r="M25">
        <v>19</v>
      </c>
      <c r="N25">
        <v>52</v>
      </c>
      <c r="O25">
        <v>58</v>
      </c>
      <c r="P25">
        <v>0</v>
      </c>
      <c r="Q25" t="s">
        <v>300</v>
      </c>
      <c r="R25" t="s">
        <v>301</v>
      </c>
    </row>
    <row r="26" spans="1:18" x14ac:dyDescent="0.25">
      <c r="A26" t="str">
        <f>B26&amp;"-w"&amp;D26&amp;"-g"&amp;TEXT(COUNTIFS($B$2:B26,B26,$D$2:D26,D26),"00")</f>
        <v>2026-w5-g03</v>
      </c>
      <c r="B26">
        <v>2026</v>
      </c>
      <c r="C26" t="s">
        <v>298</v>
      </c>
      <c r="D26">
        <v>5</v>
      </c>
      <c r="E26" s="2">
        <v>46147</v>
      </c>
      <c r="F26" s="3">
        <v>0.77083333333333337</v>
      </c>
      <c r="G26" t="s">
        <v>299</v>
      </c>
      <c r="H26" t="s">
        <v>10</v>
      </c>
      <c r="I26" t="s">
        <v>18</v>
      </c>
      <c r="J26">
        <v>34</v>
      </c>
      <c r="K26">
        <v>17</v>
      </c>
      <c r="L26">
        <v>24</v>
      </c>
      <c r="M26">
        <v>25</v>
      </c>
      <c r="N26">
        <v>58</v>
      </c>
      <c r="O26">
        <v>42</v>
      </c>
      <c r="P26">
        <v>0</v>
      </c>
      <c r="Q26" t="s">
        <v>300</v>
      </c>
      <c r="R26" t="s">
        <v>301</v>
      </c>
    </row>
    <row r="27" spans="1:18" x14ac:dyDescent="0.25">
      <c r="A27" t="str">
        <f>B27&amp;"-w"&amp;D27&amp;"-g"&amp;TEXT(COUNTIFS($B$2:B27,B27,$D$2:D27,D27),"00")</f>
        <v>2026-w5-g04</v>
      </c>
      <c r="B27">
        <v>2026</v>
      </c>
      <c r="C27" t="s">
        <v>298</v>
      </c>
      <c r="D27">
        <v>5</v>
      </c>
      <c r="E27" s="2">
        <v>46147</v>
      </c>
      <c r="F27" s="3">
        <v>0.8125</v>
      </c>
      <c r="G27" t="s">
        <v>299</v>
      </c>
      <c r="H27" t="s">
        <v>32</v>
      </c>
      <c r="I27" t="s">
        <v>25</v>
      </c>
      <c r="N27">
        <v>20</v>
      </c>
      <c r="O27">
        <v>60</v>
      </c>
      <c r="P27">
        <v>0</v>
      </c>
      <c r="Q27" t="s">
        <v>300</v>
      </c>
      <c r="R27" t="s">
        <v>306</v>
      </c>
    </row>
    <row r="28" spans="1:18" x14ac:dyDescent="0.25">
      <c r="A28" t="str">
        <f>B28&amp;"-w"&amp;D28&amp;"-g"&amp;TEXT(COUNTIFS($B$2:B28,B28,$D$2:D28,D28),"00")</f>
        <v>2026-w5-g05</v>
      </c>
      <c r="B28">
        <v>2026</v>
      </c>
      <c r="C28" t="s">
        <v>298</v>
      </c>
      <c r="D28">
        <v>5</v>
      </c>
      <c r="E28" s="2">
        <v>46147</v>
      </c>
      <c r="F28" s="3">
        <v>0.85416666666666663</v>
      </c>
      <c r="G28" t="s">
        <v>299</v>
      </c>
      <c r="H28" t="s">
        <v>14</v>
      </c>
      <c r="I28" t="s">
        <v>21</v>
      </c>
      <c r="J28">
        <v>31</v>
      </c>
      <c r="K28">
        <v>29</v>
      </c>
      <c r="L28">
        <v>39</v>
      </c>
      <c r="M28">
        <v>31</v>
      </c>
      <c r="N28">
        <v>70</v>
      </c>
      <c r="O28">
        <v>60</v>
      </c>
      <c r="P28">
        <v>0</v>
      </c>
      <c r="Q28" t="s">
        <v>300</v>
      </c>
      <c r="R28" t="s">
        <v>301</v>
      </c>
    </row>
    <row r="29" spans="1:18" x14ac:dyDescent="0.25">
      <c r="A29" t="str">
        <f>B29&amp;"-w"&amp;D29&amp;"-g"&amp;TEXT(COUNTIFS($B$2:B29,B29,$D$2:D29,D29),"00")</f>
        <v>2026-w6-g01</v>
      </c>
      <c r="B29">
        <v>2026</v>
      </c>
      <c r="C29" t="s">
        <v>298</v>
      </c>
      <c r="D29">
        <v>6</v>
      </c>
      <c r="E29" s="2">
        <v>46153</v>
      </c>
      <c r="F29" s="3">
        <v>0.77083333333333337</v>
      </c>
      <c r="G29" t="s">
        <v>299</v>
      </c>
      <c r="H29" t="s">
        <v>35</v>
      </c>
      <c r="I29" t="s">
        <v>25</v>
      </c>
      <c r="J29">
        <v>15</v>
      </c>
      <c r="K29">
        <v>36</v>
      </c>
      <c r="L29">
        <v>5</v>
      </c>
      <c r="M29">
        <v>35</v>
      </c>
      <c r="N29">
        <v>20</v>
      </c>
      <c r="O29">
        <v>71</v>
      </c>
      <c r="P29">
        <v>0</v>
      </c>
      <c r="Q29" t="s">
        <v>300</v>
      </c>
      <c r="R29" t="s">
        <v>301</v>
      </c>
    </row>
    <row r="30" spans="1:18" x14ac:dyDescent="0.25">
      <c r="A30" t="str">
        <f>B30&amp;"-w"&amp;D30&amp;"-g"&amp;TEXT(COUNTIFS($B$2:B30,B30,$D$2:D30,D30),"00")</f>
        <v>2026-w6-g02</v>
      </c>
      <c r="B30">
        <v>2026</v>
      </c>
      <c r="C30" t="s">
        <v>298</v>
      </c>
      <c r="D30">
        <v>6</v>
      </c>
      <c r="E30" s="2">
        <v>46153</v>
      </c>
      <c r="F30" s="3">
        <v>0.8125</v>
      </c>
      <c r="G30" t="s">
        <v>299</v>
      </c>
      <c r="H30" t="s">
        <v>28</v>
      </c>
      <c r="I30" t="s">
        <v>10</v>
      </c>
      <c r="J30">
        <v>18</v>
      </c>
      <c r="K30">
        <v>46</v>
      </c>
      <c r="L30">
        <v>30</v>
      </c>
      <c r="M30">
        <v>30</v>
      </c>
      <c r="N30">
        <v>48</v>
      </c>
      <c r="O30">
        <v>76</v>
      </c>
      <c r="P30">
        <v>0</v>
      </c>
      <c r="Q30" t="s">
        <v>300</v>
      </c>
      <c r="R30" t="s">
        <v>301</v>
      </c>
    </row>
    <row r="31" spans="1:18" x14ac:dyDescent="0.25">
      <c r="A31" t="str">
        <f>B31&amp;"-w"&amp;D31&amp;"-g"&amp;TEXT(COUNTIFS($B$2:B31,B31,$D$2:D31,D31),"00")</f>
        <v>2026-w6-g03</v>
      </c>
      <c r="B31">
        <v>2026</v>
      </c>
      <c r="C31" t="s">
        <v>298</v>
      </c>
      <c r="D31">
        <v>6</v>
      </c>
      <c r="E31" s="2">
        <v>46154</v>
      </c>
      <c r="F31" s="3">
        <v>0.77083333333333337</v>
      </c>
      <c r="G31" t="s">
        <v>299</v>
      </c>
      <c r="H31" t="s">
        <v>14</v>
      </c>
      <c r="I31" t="s">
        <v>32</v>
      </c>
      <c r="Q31" t="s">
        <v>307</v>
      </c>
    </row>
    <row r="32" spans="1:18" x14ac:dyDescent="0.25">
      <c r="A32" t="str">
        <f>B32&amp;"-w"&amp;D32&amp;"-g"&amp;TEXT(COUNTIFS($B$2:B32,B32,$D$2:D32,D32),"00")</f>
        <v>2026-w6-g04</v>
      </c>
      <c r="B32">
        <v>2026</v>
      </c>
      <c r="C32" t="s">
        <v>298</v>
      </c>
      <c r="D32">
        <v>6</v>
      </c>
      <c r="E32" s="2">
        <v>46154</v>
      </c>
      <c r="F32" s="3">
        <v>0.8125</v>
      </c>
      <c r="G32" t="s">
        <v>299</v>
      </c>
      <c r="H32" t="s">
        <v>18</v>
      </c>
      <c r="I32" t="s">
        <v>21</v>
      </c>
      <c r="Q32" t="s">
        <v>307</v>
      </c>
    </row>
    <row r="33" spans="1:17" x14ac:dyDescent="0.25">
      <c r="A33" t="str">
        <f>B33&amp;"-w"&amp;D33&amp;"-g"&amp;TEXT(COUNTIFS($B$2:B33,B33,$D$2:D33,D33),"00")</f>
        <v>2026-w6-g05</v>
      </c>
      <c r="B33">
        <v>2026</v>
      </c>
      <c r="C33" t="s">
        <v>298</v>
      </c>
      <c r="D33">
        <v>6</v>
      </c>
      <c r="E33" s="2">
        <v>46154</v>
      </c>
      <c r="F33" s="3">
        <v>0.85416666666666663</v>
      </c>
      <c r="G33" t="s">
        <v>299</v>
      </c>
      <c r="H33" t="s">
        <v>28</v>
      </c>
      <c r="I33" t="s">
        <v>35</v>
      </c>
      <c r="Q33" t="s">
        <v>307</v>
      </c>
    </row>
    <row r="34" spans="1:17" x14ac:dyDescent="0.25">
      <c r="A34" t="str">
        <f>B34&amp;"-w"&amp;D34&amp;"-g"&amp;TEXT(COUNTIFS($B$2:B34,B34,$D$2:D34,D34),"00")</f>
        <v>2026-w6-g06</v>
      </c>
      <c r="B34">
        <v>2026</v>
      </c>
      <c r="C34" t="s">
        <v>298</v>
      </c>
      <c r="D34">
        <v>6</v>
      </c>
      <c r="E34" s="2">
        <v>46156</v>
      </c>
      <c r="F34" s="3">
        <v>0.8125</v>
      </c>
      <c r="G34" t="s">
        <v>299</v>
      </c>
      <c r="H34" t="s">
        <v>10</v>
      </c>
      <c r="I34" t="s">
        <v>21</v>
      </c>
      <c r="Q34" t="s">
        <v>307</v>
      </c>
    </row>
    <row r="35" spans="1:17" x14ac:dyDescent="0.25">
      <c r="A35" t="str">
        <f>B35&amp;"-w"&amp;D35&amp;"-g"&amp;TEXT(COUNTIFS($B$2:B35,B35,$D$2:D35,D35),"00")</f>
        <v>2026-w6-g07</v>
      </c>
      <c r="B35">
        <v>2026</v>
      </c>
      <c r="C35" t="s">
        <v>298</v>
      </c>
      <c r="D35">
        <v>6</v>
      </c>
      <c r="E35" s="2">
        <v>46156</v>
      </c>
      <c r="F35" s="3">
        <v>0.85416666666666663</v>
      </c>
      <c r="G35" t="s">
        <v>299</v>
      </c>
      <c r="H35" t="s">
        <v>32</v>
      </c>
      <c r="I35" t="s">
        <v>18</v>
      </c>
      <c r="Q35" t="s">
        <v>307</v>
      </c>
    </row>
    <row r="36" spans="1:17" x14ac:dyDescent="0.25">
      <c r="A36" t="str">
        <f>B36&amp;"-w"&amp;D36&amp;"-g"&amp;TEXT(COUNTIFS($B$2:B36,B36,$D$2:D36,D36),"00")</f>
        <v>2026-w7-g01</v>
      </c>
      <c r="B36">
        <v>2026</v>
      </c>
      <c r="C36" t="s">
        <v>298</v>
      </c>
      <c r="D36">
        <v>7</v>
      </c>
      <c r="E36" s="2">
        <v>46160</v>
      </c>
      <c r="F36" s="3">
        <v>0.77083333333333337</v>
      </c>
      <c r="G36" t="s">
        <v>299</v>
      </c>
      <c r="H36" t="s">
        <v>28</v>
      </c>
      <c r="I36" t="s">
        <v>18</v>
      </c>
      <c r="Q36" t="s">
        <v>307</v>
      </c>
    </row>
    <row r="37" spans="1:17" x14ac:dyDescent="0.25">
      <c r="A37" t="str">
        <f>B37&amp;"-w"&amp;D37&amp;"-g"&amp;TEXT(COUNTIFS($B$2:B37,B37,$D$2:D37,D37),"00")</f>
        <v>2026-w7-g02</v>
      </c>
      <c r="B37">
        <v>2026</v>
      </c>
      <c r="C37" t="s">
        <v>298</v>
      </c>
      <c r="D37">
        <v>7</v>
      </c>
      <c r="E37" s="2">
        <v>46160</v>
      </c>
      <c r="F37" s="3">
        <v>0.8125</v>
      </c>
      <c r="G37" t="s">
        <v>299</v>
      </c>
      <c r="H37" t="s">
        <v>21</v>
      </c>
      <c r="I37" t="s">
        <v>35</v>
      </c>
      <c r="Q37" t="s">
        <v>307</v>
      </c>
    </row>
    <row r="38" spans="1:17" x14ac:dyDescent="0.25">
      <c r="A38" t="str">
        <f>B38&amp;"-w"&amp;D38&amp;"-g"&amp;TEXT(COUNTIFS($B$2:B38,B38,$D$2:D38,D38),"00")</f>
        <v>2026-w7-g03</v>
      </c>
      <c r="B38">
        <v>2026</v>
      </c>
      <c r="C38" t="s">
        <v>298</v>
      </c>
      <c r="D38">
        <v>7</v>
      </c>
      <c r="E38" s="2">
        <v>46160</v>
      </c>
      <c r="F38" s="3">
        <v>0.85416666666666663</v>
      </c>
      <c r="G38" t="s">
        <v>299</v>
      </c>
      <c r="H38" t="s">
        <v>14</v>
      </c>
      <c r="I38" t="s">
        <v>25</v>
      </c>
      <c r="Q38" t="s">
        <v>307</v>
      </c>
    </row>
    <row r="39" spans="1:17" x14ac:dyDescent="0.25">
      <c r="A39" t="str">
        <f>B39&amp;"-w"&amp;D39&amp;"-g"&amp;TEXT(COUNTIFS($B$2:B39,B39,$D$2:D39,D39),"00")</f>
        <v>2026-w7-g04</v>
      </c>
      <c r="B39">
        <v>2026</v>
      </c>
      <c r="C39" t="s">
        <v>298</v>
      </c>
      <c r="D39">
        <v>7</v>
      </c>
      <c r="E39" s="2">
        <v>46161</v>
      </c>
      <c r="F39" s="3">
        <v>0.77083333333333337</v>
      </c>
      <c r="G39" t="s">
        <v>299</v>
      </c>
      <c r="H39" t="s">
        <v>25</v>
      </c>
      <c r="I39" t="s">
        <v>28</v>
      </c>
      <c r="Q39" t="s">
        <v>307</v>
      </c>
    </row>
    <row r="40" spans="1:17" x14ac:dyDescent="0.25">
      <c r="A40" t="str">
        <f>B40&amp;"-w"&amp;D40&amp;"-g"&amp;TEXT(COUNTIFS($B$2:B40,B40,$D$2:D40,D40),"00")</f>
        <v>2026-w7-g05</v>
      </c>
      <c r="B40">
        <v>2026</v>
      </c>
      <c r="C40" t="s">
        <v>298</v>
      </c>
      <c r="D40">
        <v>7</v>
      </c>
      <c r="E40" s="2">
        <v>46161</v>
      </c>
      <c r="F40" s="3">
        <v>0.8125</v>
      </c>
      <c r="G40" t="s">
        <v>299</v>
      </c>
      <c r="H40" t="s">
        <v>10</v>
      </c>
      <c r="I40" t="s">
        <v>14</v>
      </c>
      <c r="Q40" t="s">
        <v>307</v>
      </c>
    </row>
    <row r="41" spans="1:17" x14ac:dyDescent="0.25">
      <c r="A41" t="str">
        <f>B41&amp;"-w"&amp;D41&amp;"-g"&amp;TEXT(COUNTIFS($B$2:B41,B41,$D$2:D41,D41),"00")</f>
        <v>2026-w7-g06</v>
      </c>
      <c r="B41">
        <v>2026</v>
      </c>
      <c r="C41" t="s">
        <v>298</v>
      </c>
      <c r="D41">
        <v>7</v>
      </c>
      <c r="E41" s="2">
        <v>46161</v>
      </c>
      <c r="F41" s="3">
        <v>0.85416666666666663</v>
      </c>
      <c r="G41" t="s">
        <v>299</v>
      </c>
      <c r="H41" t="s">
        <v>35</v>
      </c>
      <c r="I41" t="s">
        <v>32</v>
      </c>
      <c r="Q41" t="s">
        <v>307</v>
      </c>
    </row>
  </sheetData>
  <autoFilter ref="A1:T41" xr:uid="{00000000-0009-0000-0000-000005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"/>
  <sheetViews>
    <sheetView workbookViewId="0">
      <selection activeCell="E1" sqref="E1"/>
    </sheetView>
  </sheetViews>
  <sheetFormatPr defaultColWidth="35.85546875" defaultRowHeight="15" x14ac:dyDescent="0.25"/>
  <cols>
    <col min="1" max="1" width="8.85546875" bestFit="1" customWidth="1"/>
    <col min="2" max="2" width="5.85546875" bestFit="1" customWidth="1"/>
  </cols>
  <sheetData>
    <row r="1" spans="1:7" x14ac:dyDescent="0.25">
      <c r="A1" t="s">
        <v>0</v>
      </c>
      <c r="B1" t="s">
        <v>281</v>
      </c>
      <c r="C1" t="s">
        <v>308</v>
      </c>
      <c r="D1" t="s">
        <v>49</v>
      </c>
      <c r="E1" t="s">
        <v>38</v>
      </c>
      <c r="F1" t="s">
        <v>309</v>
      </c>
      <c r="G1" t="s">
        <v>310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"/>
  <sheetViews>
    <sheetView workbookViewId="0">
      <selection activeCell="E1" sqref="E1"/>
    </sheetView>
  </sheetViews>
  <sheetFormatPr defaultColWidth="47" defaultRowHeight="15" x14ac:dyDescent="0.25"/>
  <cols>
    <col min="1" max="1" width="12.5703125" customWidth="1"/>
    <col min="3" max="3" width="13.28515625" customWidth="1"/>
    <col min="6" max="6" width="32.85546875" customWidth="1"/>
  </cols>
  <sheetData>
    <row r="1" spans="1:7" x14ac:dyDescent="0.25">
      <c r="A1" t="s">
        <v>0</v>
      </c>
      <c r="B1" t="s">
        <v>308</v>
      </c>
      <c r="C1" t="s">
        <v>311</v>
      </c>
      <c r="D1" t="s">
        <v>49</v>
      </c>
      <c r="E1" t="s">
        <v>38</v>
      </c>
      <c r="F1" t="s">
        <v>309</v>
      </c>
      <c r="G1" t="s">
        <v>310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8"/>
  <sheetViews>
    <sheetView tabSelected="1" workbookViewId="0">
      <selection activeCell="J5" sqref="J5"/>
    </sheetView>
  </sheetViews>
  <sheetFormatPr defaultRowHeight="15" x14ac:dyDescent="0.25"/>
  <sheetData>
    <row r="1" spans="1:10" x14ac:dyDescent="0.25">
      <c r="A1" t="s">
        <v>10</v>
      </c>
      <c r="D1" t="s">
        <v>307</v>
      </c>
      <c r="F1" s="3">
        <v>0.77083333333333337</v>
      </c>
      <c r="H1" t="s">
        <v>298</v>
      </c>
      <c r="J1" t="s">
        <v>301</v>
      </c>
    </row>
    <row r="2" spans="1:10" x14ac:dyDescent="0.25">
      <c r="A2" t="s">
        <v>14</v>
      </c>
      <c r="D2" t="s">
        <v>300</v>
      </c>
      <c r="F2" s="3">
        <v>0.8125</v>
      </c>
      <c r="H2" t="s">
        <v>312</v>
      </c>
      <c r="J2" t="s">
        <v>306</v>
      </c>
    </row>
    <row r="3" spans="1:10" x14ac:dyDescent="0.25">
      <c r="A3" t="s">
        <v>18</v>
      </c>
      <c r="D3" t="s">
        <v>313</v>
      </c>
      <c r="F3" s="3">
        <v>0.85416666666666663</v>
      </c>
      <c r="H3" t="s">
        <v>314</v>
      </c>
      <c r="J3" t="s">
        <v>315</v>
      </c>
    </row>
    <row r="4" spans="1:10" x14ac:dyDescent="0.25">
      <c r="A4" t="s">
        <v>25</v>
      </c>
      <c r="D4" t="s">
        <v>316</v>
      </c>
    </row>
    <row r="5" spans="1:10" x14ac:dyDescent="0.25">
      <c r="A5" t="s">
        <v>32</v>
      </c>
    </row>
    <row r="6" spans="1:10" x14ac:dyDescent="0.25">
      <c r="A6" t="s">
        <v>21</v>
      </c>
    </row>
    <row r="7" spans="1:10" x14ac:dyDescent="0.25">
      <c r="A7" t="s">
        <v>28</v>
      </c>
    </row>
    <row r="8" spans="1:10" x14ac:dyDescent="0.25">
      <c r="A8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seasons</vt:lpstr>
      <vt:lpstr>teams</vt:lpstr>
      <vt:lpstr>seasonTeams</vt:lpstr>
      <vt:lpstr>players</vt:lpstr>
      <vt:lpstr>rosterSpots</vt:lpstr>
      <vt:lpstr>games</vt:lpstr>
      <vt:lpstr>weeklyAwards</vt:lpstr>
      <vt:lpstr>seasonAwards</vt:lpstr>
      <vt:lpstr>selection_values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Ricciardelli</dc:creator>
  <cp:lastModifiedBy>Ryan Ricciardelli</cp:lastModifiedBy>
  <dcterms:created xsi:type="dcterms:W3CDTF">2015-06-05T18:17:20Z</dcterms:created>
  <dcterms:modified xsi:type="dcterms:W3CDTF">2026-05-12T23:59:11Z</dcterms:modified>
</cp:coreProperties>
</file>